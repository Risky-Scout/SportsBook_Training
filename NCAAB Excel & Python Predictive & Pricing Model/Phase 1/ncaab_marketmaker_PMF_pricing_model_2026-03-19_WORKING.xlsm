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sephshackelford/Desktop/SportsBook Training/mmodel_turnkey_complete/"/>
    </mc:Choice>
  </mc:AlternateContent>
  <xr:revisionPtr revIDLastSave="0" documentId="13_ncr:1_{1EFE2477-27B8-F949-B30F-49AF5CDA5416}" xr6:coauthVersionLast="47" xr6:coauthVersionMax="47" xr10:uidLastSave="{00000000-0000-0000-0000-000000000000}"/>
  <bookViews>
    <workbookView xWindow="0" yWindow="660" windowWidth="30240" windowHeight="18980" firstSheet="2" activeTab="6" xr2:uid="{00000000-000D-0000-FFFF-FFFF00000000}"/>
  </bookViews>
  <sheets>
    <sheet name="READ_ME_TODAY" sheetId="1" r:id="rId1"/>
    <sheet name="MarketMaker_Dashboard" sheetId="2" r:id="rId2"/>
    <sheet name="GamePick_ModeA" sheetId="3" r:id="rId3"/>
    <sheet name="SpreadTotal" sheetId="4" r:id="rId4"/>
    <sheet name="Inputs" sheetId="5" r:id="rId5"/>
    <sheet name="MarketMaker_Board" sheetId="6" r:id="rId6"/>
    <sheet name="Odds_from_Odds_Api_Total" sheetId="7" r:id="rId7"/>
    <sheet name="Odds_from_Odds_Api_Spread" sheetId="8" r:id="rId8"/>
    <sheet name="GameInputs" sheetId="9" state="hidden" r:id="rId9"/>
    <sheet name="BlendedRatings" sheetId="10" state="hidden" r:id="rId10"/>
    <sheet name="TeamPlayerIndex" sheetId="11" r:id="rId11"/>
    <sheet name="KenPomRaw" sheetId="12" state="hidden" r:id="rId12"/>
    <sheet name="Odds_Map_OddsToKP" sheetId="13" r:id="rId13"/>
    <sheet name="Odds_Map_KPToOdds" sheetId="14" r:id="rId14"/>
  </sheets>
  <functionGroups builtInGroupCount="19"/>
  <definedNames>
    <definedName name="_xlnm._FilterDatabase" localSheetId="6" hidden="1">Odds_from_Odds_Api_Total!$A$1:$I$330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6" l="1"/>
  <c r="F22" i="6"/>
  <c r="E22" i="6"/>
  <c r="D22" i="6"/>
  <c r="V22" i="6" s="1"/>
  <c r="C22" i="6"/>
  <c r="AA22" i="6" s="1"/>
  <c r="B22" i="6"/>
  <c r="I21" i="6"/>
  <c r="F21" i="6"/>
  <c r="E21" i="6"/>
  <c r="D21" i="6"/>
  <c r="W21" i="6" s="1"/>
  <c r="C21" i="6"/>
  <c r="Y21" i="6" s="1"/>
  <c r="B21" i="6"/>
  <c r="I20" i="6"/>
  <c r="F20" i="6"/>
  <c r="E20" i="6"/>
  <c r="D20" i="6"/>
  <c r="X20" i="6" s="1"/>
  <c r="C20" i="6"/>
  <c r="AA20" i="6" s="1"/>
  <c r="B20" i="6"/>
  <c r="I19" i="6"/>
  <c r="F19" i="6"/>
  <c r="E19" i="6"/>
  <c r="D19" i="6"/>
  <c r="X19" i="6" s="1"/>
  <c r="C19" i="6"/>
  <c r="Y19" i="6" s="1"/>
  <c r="B19" i="6"/>
  <c r="I18" i="6"/>
  <c r="F18" i="6"/>
  <c r="E18" i="6"/>
  <c r="D18" i="6"/>
  <c r="X18" i="6" s="1"/>
  <c r="C18" i="6"/>
  <c r="AA18" i="6" s="1"/>
  <c r="B18" i="6"/>
  <c r="I17" i="6"/>
  <c r="F17" i="6"/>
  <c r="E17" i="6"/>
  <c r="D17" i="6"/>
  <c r="X17" i="6" s="1"/>
  <c r="C17" i="6"/>
  <c r="Y17" i="6" s="1"/>
  <c r="B17" i="6"/>
  <c r="I16" i="6"/>
  <c r="F16" i="6"/>
  <c r="E16" i="6"/>
  <c r="D16" i="6"/>
  <c r="X16" i="6" s="1"/>
  <c r="C16" i="6"/>
  <c r="Y16" i="6" s="1"/>
  <c r="B16" i="6"/>
  <c r="I15" i="6"/>
  <c r="F15" i="6"/>
  <c r="E15" i="6"/>
  <c r="D15" i="6"/>
  <c r="X15" i="6" s="1"/>
  <c r="C15" i="6"/>
  <c r="Z15" i="6" s="1"/>
  <c r="B15" i="6"/>
  <c r="I14" i="6"/>
  <c r="F14" i="6"/>
  <c r="E14" i="6"/>
  <c r="D14" i="6"/>
  <c r="X14" i="6" s="1"/>
  <c r="C14" i="6"/>
  <c r="AA14" i="6" s="1"/>
  <c r="B14" i="6"/>
  <c r="I13" i="6"/>
  <c r="F13" i="6"/>
  <c r="E13" i="6"/>
  <c r="D13" i="6"/>
  <c r="C13" i="6"/>
  <c r="B13" i="6"/>
  <c r="I12" i="6"/>
  <c r="F12" i="6"/>
  <c r="E12" i="6"/>
  <c r="D12" i="6"/>
  <c r="X12" i="6" s="1"/>
  <c r="C12" i="6"/>
  <c r="AA12" i="6" s="1"/>
  <c r="B12" i="6"/>
  <c r="I11" i="6"/>
  <c r="G20" i="2" s="1"/>
  <c r="F11" i="6"/>
  <c r="D20" i="2" s="1"/>
  <c r="E11" i="6"/>
  <c r="D11" i="6"/>
  <c r="X11" i="6" s="1"/>
  <c r="C11" i="6"/>
  <c r="AA11" i="6" s="1"/>
  <c r="B11" i="6"/>
  <c r="I10" i="6"/>
  <c r="G19" i="2" s="1"/>
  <c r="F10" i="6"/>
  <c r="D19" i="2" s="1"/>
  <c r="E10" i="6"/>
  <c r="D10" i="6"/>
  <c r="X10" i="6" s="1"/>
  <c r="C10" i="6"/>
  <c r="B10" i="6"/>
  <c r="I9" i="6"/>
  <c r="G18" i="2" s="1"/>
  <c r="F9" i="6"/>
  <c r="D18" i="2" s="1"/>
  <c r="E9" i="6"/>
  <c r="D9" i="6"/>
  <c r="V9" i="6" s="1"/>
  <c r="C9" i="6"/>
  <c r="AA9" i="6" s="1"/>
  <c r="B9" i="6"/>
  <c r="I8" i="6"/>
  <c r="G17" i="2" s="1"/>
  <c r="F8" i="6"/>
  <c r="E8" i="6"/>
  <c r="D8" i="6"/>
  <c r="X8" i="6" s="1"/>
  <c r="C8" i="6"/>
  <c r="AA8" i="6" s="1"/>
  <c r="B8" i="6"/>
  <c r="I7" i="6"/>
  <c r="G16" i="2" s="1"/>
  <c r="F7" i="6"/>
  <c r="D16" i="2" s="1"/>
  <c r="E7" i="6"/>
  <c r="D7" i="6"/>
  <c r="X7" i="6" s="1"/>
  <c r="C7" i="6"/>
  <c r="AA7" i="6" s="1"/>
  <c r="B7" i="6"/>
  <c r="I6" i="6"/>
  <c r="G15" i="2" s="1"/>
  <c r="F6" i="6"/>
  <c r="D15" i="2" s="1"/>
  <c r="E6" i="6"/>
  <c r="D6" i="6"/>
  <c r="X6" i="6" s="1"/>
  <c r="C6" i="6"/>
  <c r="AA6" i="6" s="1"/>
  <c r="B6" i="6"/>
  <c r="I5" i="6"/>
  <c r="F5" i="6"/>
  <c r="D14" i="2" s="1"/>
  <c r="E5" i="6"/>
  <c r="D5" i="6"/>
  <c r="X5" i="6" s="1"/>
  <c r="C5" i="6"/>
  <c r="Y5" i="6" s="1"/>
  <c r="B5" i="6"/>
  <c r="I4" i="6"/>
  <c r="G13" i="2" s="1"/>
  <c r="F4" i="6"/>
  <c r="D13" i="2" s="1"/>
  <c r="E4" i="6"/>
  <c r="D4" i="6"/>
  <c r="X4" i="6" s="1"/>
  <c r="C4" i="6"/>
  <c r="B13" i="2" s="1"/>
  <c r="B4" i="6"/>
  <c r="I3" i="6"/>
  <c r="F3" i="6"/>
  <c r="E3" i="6"/>
  <c r="D3" i="6"/>
  <c r="V3" i="6" s="1"/>
  <c r="C3" i="6"/>
  <c r="B3" i="6"/>
  <c r="I2" i="6"/>
  <c r="G11" i="2" s="1"/>
  <c r="F2" i="6"/>
  <c r="D11" i="2" s="1"/>
  <c r="E2" i="6"/>
  <c r="D2" i="6"/>
  <c r="W2" i="6" s="1"/>
  <c r="C2" i="6"/>
  <c r="AA2" i="6" s="1"/>
  <c r="B2" i="6"/>
  <c r="F5" i="5"/>
  <c r="F4" i="5"/>
  <c r="F3" i="5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B11" i="3"/>
  <c r="B11" i="5" s="1"/>
  <c r="B10" i="3"/>
  <c r="B10" i="5" s="1"/>
  <c r="B9" i="3"/>
  <c r="B19" i="5" s="1"/>
  <c r="B7" i="4" s="1"/>
  <c r="B8" i="3"/>
  <c r="B18" i="5" s="1"/>
  <c r="B5" i="4" s="1"/>
  <c r="B7" i="3"/>
  <c r="B6" i="5" s="1"/>
  <c r="B6" i="3"/>
  <c r="B5" i="5" s="1"/>
  <c r="B4" i="4" s="1"/>
  <c r="B5" i="3"/>
  <c r="B4" i="5" s="1"/>
  <c r="B4" i="3"/>
  <c r="B3" i="5" s="1"/>
  <c r="A20" i="2"/>
  <c r="A19" i="2"/>
  <c r="A18" i="2"/>
  <c r="A17" i="2"/>
  <c r="A16" i="2"/>
  <c r="A15" i="2"/>
  <c r="A14" i="2"/>
  <c r="A13" i="2"/>
  <c r="A12" i="2"/>
  <c r="A11" i="2"/>
  <c r="E2" i="2"/>
  <c r="C20" i="2" l="1"/>
  <c r="B11" i="2"/>
  <c r="W10" i="6"/>
  <c r="X9" i="6"/>
  <c r="AB9" i="6" s="1"/>
  <c r="AE9" i="6" s="1"/>
  <c r="B18" i="2"/>
  <c r="Z17" i="6"/>
  <c r="V4" i="4"/>
  <c r="AA17" i="6"/>
  <c r="AB17" i="6" s="1"/>
  <c r="V11" i="6"/>
  <c r="Z12" i="6"/>
  <c r="Z2" i="6"/>
  <c r="W11" i="6"/>
  <c r="W17" i="6"/>
  <c r="AD17" i="6" s="1"/>
  <c r="Y18" i="6"/>
  <c r="C12" i="2"/>
  <c r="W19" i="6"/>
  <c r="AD19" i="6" s="1"/>
  <c r="C19" i="2"/>
  <c r="V10" i="6"/>
  <c r="Z21" i="6"/>
  <c r="AA21" i="6"/>
  <c r="C11" i="2"/>
  <c r="B17" i="2"/>
  <c r="Y12" i="6"/>
  <c r="AA19" i="6"/>
  <c r="AB19" i="6" s="1"/>
  <c r="B20" i="2"/>
  <c r="V2" i="6"/>
  <c r="Y8" i="6"/>
  <c r="X2" i="6"/>
  <c r="AB2" i="6" s="1"/>
  <c r="Y2" i="6"/>
  <c r="AD2" i="6" s="1"/>
  <c r="Y20" i="6"/>
  <c r="Z20" i="6"/>
  <c r="AB14" i="6"/>
  <c r="AF14" i="6" s="1"/>
  <c r="Y11" i="6"/>
  <c r="AB8" i="6"/>
  <c r="AF8" i="6" s="1"/>
  <c r="Z11" i="6"/>
  <c r="V17" i="6"/>
  <c r="K11" i="4"/>
  <c r="K12" i="4" s="1"/>
  <c r="A26" i="4"/>
  <c r="AB18" i="6"/>
  <c r="AE18" i="6" s="1"/>
  <c r="AB6" i="6"/>
  <c r="AF6" i="6" s="1"/>
  <c r="B15" i="2"/>
  <c r="C14" i="2"/>
  <c r="AD21" i="6"/>
  <c r="D12" i="2"/>
  <c r="C15" i="2"/>
  <c r="C17" i="2"/>
  <c r="V16" i="6"/>
  <c r="AB7" i="6"/>
  <c r="AE7" i="6" s="1"/>
  <c r="V6" i="6"/>
  <c r="Z18" i="6"/>
  <c r="W5" i="6"/>
  <c r="AD5" i="6" s="1"/>
  <c r="Y6" i="6"/>
  <c r="Z7" i="6"/>
  <c r="Z8" i="6"/>
  <c r="W14" i="6"/>
  <c r="W15" i="6"/>
  <c r="AA16" i="6"/>
  <c r="AB16" i="6" s="1"/>
  <c r="V5" i="6"/>
  <c r="Y7" i="6"/>
  <c r="B4" i="2"/>
  <c r="B16" i="2"/>
  <c r="Z5" i="6"/>
  <c r="Z6" i="6"/>
  <c r="AA15" i="6"/>
  <c r="AB15" i="6" s="1"/>
  <c r="V14" i="6"/>
  <c r="V15" i="6"/>
  <c r="AC15" i="6" s="1"/>
  <c r="Z16" i="6"/>
  <c r="B14" i="2"/>
  <c r="C16" i="2"/>
  <c r="AA5" i="6"/>
  <c r="AB5" i="6" s="1"/>
  <c r="AF5" i="6" s="1"/>
  <c r="AA3" i="6"/>
  <c r="Z3" i="6"/>
  <c r="AC3" i="6" s="1"/>
  <c r="Y3" i="6"/>
  <c r="V13" i="6"/>
  <c r="X13" i="6"/>
  <c r="W13" i="6"/>
  <c r="C9" i="5"/>
  <c r="C7" i="5"/>
  <c r="C8" i="5"/>
  <c r="B3" i="4"/>
  <c r="Z4" i="6"/>
  <c r="Y4" i="6"/>
  <c r="AA4" i="6"/>
  <c r="AB4" i="6" s="1"/>
  <c r="C12" i="5"/>
  <c r="C10" i="5"/>
  <c r="B2" i="2"/>
  <c r="W4" i="6"/>
  <c r="V4" i="6"/>
  <c r="E4" i="2"/>
  <c r="C11" i="5"/>
  <c r="C13" i="2"/>
  <c r="G12" i="2"/>
  <c r="V21" i="4"/>
  <c r="B12" i="2"/>
  <c r="Y10" i="6"/>
  <c r="B19" i="2"/>
  <c r="AA10" i="6"/>
  <c r="AB10" i="6" s="1"/>
  <c r="Z10" i="6"/>
  <c r="F26" i="4"/>
  <c r="P11" i="4"/>
  <c r="D17" i="2"/>
  <c r="AB11" i="6"/>
  <c r="AB12" i="6"/>
  <c r="W3" i="6"/>
  <c r="G14" i="2"/>
  <c r="W8" i="6"/>
  <c r="V8" i="6"/>
  <c r="X3" i="6"/>
  <c r="W9" i="6"/>
  <c r="AA13" i="6"/>
  <c r="Z13" i="6"/>
  <c r="Y13" i="6"/>
  <c r="V12" i="6"/>
  <c r="W12" i="6"/>
  <c r="AB20" i="6"/>
  <c r="C18" i="2"/>
  <c r="Y9" i="6"/>
  <c r="Z9" i="6"/>
  <c r="AC9" i="6" s="1"/>
  <c r="Z19" i="6"/>
  <c r="X21" i="6"/>
  <c r="W22" i="6"/>
  <c r="X22" i="6"/>
  <c r="AB22" i="6" s="1"/>
  <c r="Y22" i="6"/>
  <c r="Z22" i="6"/>
  <c r="AC22" i="6" s="1"/>
  <c r="W6" i="6"/>
  <c r="V7" i="6"/>
  <c r="Y14" i="6"/>
  <c r="W16" i="6"/>
  <c r="AD16" i="6" s="1"/>
  <c r="W7" i="6"/>
  <c r="Z14" i="6"/>
  <c r="Y15" i="6"/>
  <c r="V18" i="6"/>
  <c r="W18" i="6"/>
  <c r="V19" i="6"/>
  <c r="V20" i="6"/>
  <c r="W20" i="6"/>
  <c r="V21" i="6"/>
  <c r="AD10" i="6" l="1"/>
  <c r="F25" i="4"/>
  <c r="F24" i="4" s="1"/>
  <c r="F23" i="4" s="1"/>
  <c r="F22" i="4" s="1"/>
  <c r="F21" i="4" s="1"/>
  <c r="F20" i="4" s="1"/>
  <c r="F19" i="4" s="1"/>
  <c r="F18" i="4" s="1"/>
  <c r="F17" i="4" s="1"/>
  <c r="F16" i="4" s="1"/>
  <c r="F15" i="4" s="1"/>
  <c r="F14" i="4" s="1"/>
  <c r="F13" i="4" s="1"/>
  <c r="F12" i="4" s="1"/>
  <c r="F11" i="4" s="1"/>
  <c r="F27" i="4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A25" i="4"/>
  <c r="A24" i="4" s="1"/>
  <c r="A23" i="4" s="1"/>
  <c r="A22" i="4" s="1"/>
  <c r="A21" i="4" s="1"/>
  <c r="A20" i="4" s="1"/>
  <c r="A19" i="4" s="1"/>
  <c r="A18" i="4" s="1"/>
  <c r="A17" i="4" s="1"/>
  <c r="A16" i="4" s="1"/>
  <c r="A15" i="4" s="1"/>
  <c r="A14" i="4" s="1"/>
  <c r="A13" i="4" s="1"/>
  <c r="A12" i="4" s="1"/>
  <c r="A11" i="4" s="1"/>
  <c r="A27" i="4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D12" i="6"/>
  <c r="AC17" i="6"/>
  <c r="J17" i="6" s="1"/>
  <c r="AF9" i="6"/>
  <c r="AD18" i="6"/>
  <c r="AC8" i="6"/>
  <c r="AC21" i="6"/>
  <c r="AD15" i="6"/>
  <c r="J15" i="6" s="1"/>
  <c r="AD9" i="6"/>
  <c r="J9" i="6" s="1"/>
  <c r="AE14" i="6"/>
  <c r="AD11" i="6"/>
  <c r="AD6" i="6"/>
  <c r="AD13" i="6"/>
  <c r="AD20" i="6"/>
  <c r="AF18" i="6"/>
  <c r="AC20" i="6"/>
  <c r="AF7" i="6"/>
  <c r="B9" i="5"/>
  <c r="AC2" i="6"/>
  <c r="G2" i="6" s="1"/>
  <c r="AC12" i="6"/>
  <c r="AC10" i="6"/>
  <c r="J10" i="6" s="1"/>
  <c r="AC11" i="6"/>
  <c r="AD8" i="6"/>
  <c r="AB21" i="6"/>
  <c r="AD14" i="6"/>
  <c r="AE8" i="6"/>
  <c r="AD22" i="6"/>
  <c r="J22" i="6" s="1"/>
  <c r="AD7" i="6"/>
  <c r="AD4" i="6"/>
  <c r="AC4" i="6"/>
  <c r="AC18" i="6"/>
  <c r="AE6" i="6"/>
  <c r="AB3" i="6"/>
  <c r="AF3" i="6" s="1"/>
  <c r="AC7" i="6"/>
  <c r="AC6" i="6"/>
  <c r="AE5" i="6"/>
  <c r="AC5" i="6"/>
  <c r="G5" i="6" s="1"/>
  <c r="AC16" i="6"/>
  <c r="G16" i="6" s="1"/>
  <c r="AC14" i="6"/>
  <c r="B8" i="5"/>
  <c r="AE4" i="6"/>
  <c r="AF4" i="6"/>
  <c r="B7" i="5"/>
  <c r="AE10" i="6"/>
  <c r="AF10" i="6"/>
  <c r="AF19" i="6"/>
  <c r="AE19" i="6"/>
  <c r="AF17" i="6"/>
  <c r="AE17" i="6"/>
  <c r="AF22" i="6"/>
  <c r="AE22" i="6"/>
  <c r="AF12" i="6"/>
  <c r="AE12" i="6"/>
  <c r="AF20" i="6"/>
  <c r="AE20" i="6"/>
  <c r="AF11" i="6"/>
  <c r="AE11" i="6"/>
  <c r="P12" i="4"/>
  <c r="AC19" i="6"/>
  <c r="J19" i="6" s="1"/>
  <c r="AF16" i="6"/>
  <c r="AE16" i="6"/>
  <c r="AB13" i="6"/>
  <c r="K13" i="4"/>
  <c r="AC13" i="6"/>
  <c r="AF15" i="6"/>
  <c r="AE15" i="6"/>
  <c r="AF2" i="6"/>
  <c r="AE2" i="6"/>
  <c r="AD3" i="6"/>
  <c r="J12" i="6" l="1"/>
  <c r="G17" i="6"/>
  <c r="L17" i="6" s="1"/>
  <c r="G9" i="6"/>
  <c r="M9" i="6" s="1"/>
  <c r="J18" i="6"/>
  <c r="N18" i="6" s="1"/>
  <c r="G15" i="6"/>
  <c r="H15" i="6" s="1"/>
  <c r="G8" i="6"/>
  <c r="E17" i="2" s="1"/>
  <c r="J2" i="6"/>
  <c r="H11" i="2" s="1"/>
  <c r="G21" i="6"/>
  <c r="J6" i="6"/>
  <c r="K6" i="6" s="1"/>
  <c r="I15" i="2" s="1"/>
  <c r="G12" i="6"/>
  <c r="M12" i="6" s="1"/>
  <c r="AF21" i="6"/>
  <c r="G20" i="6"/>
  <c r="L20" i="6" s="1"/>
  <c r="J11" i="6"/>
  <c r="N11" i="6" s="1"/>
  <c r="J20" i="6"/>
  <c r="N20" i="6" s="1"/>
  <c r="J5" i="6"/>
  <c r="H14" i="2" s="1"/>
  <c r="G4" i="6"/>
  <c r="H4" i="6" s="1"/>
  <c r="G14" i="6"/>
  <c r="M14" i="6" s="1"/>
  <c r="J21" i="6"/>
  <c r="AE21" i="6"/>
  <c r="G22" i="6"/>
  <c r="L22" i="6" s="1"/>
  <c r="G11" i="6"/>
  <c r="L11" i="6" s="1"/>
  <c r="G19" i="6"/>
  <c r="M19" i="6" s="1"/>
  <c r="J8" i="6"/>
  <c r="G10" i="6"/>
  <c r="M10" i="6" s="1"/>
  <c r="J4" i="6"/>
  <c r="H13" i="2" s="1"/>
  <c r="G18" i="6"/>
  <c r="L18" i="6" s="1"/>
  <c r="G7" i="6"/>
  <c r="L7" i="6" s="1"/>
  <c r="G3" i="6"/>
  <c r="H3" i="6" s="1"/>
  <c r="AE3" i="6"/>
  <c r="J7" i="6"/>
  <c r="H16" i="2" s="1"/>
  <c r="G6" i="6"/>
  <c r="J14" i="6"/>
  <c r="N14" i="6" s="1"/>
  <c r="J16" i="6"/>
  <c r="N16" i="6" s="1"/>
  <c r="V5" i="4"/>
  <c r="B5" i="2"/>
  <c r="J3" i="6"/>
  <c r="N9" i="6"/>
  <c r="H18" i="2"/>
  <c r="K9" i="6"/>
  <c r="I18" i="2" s="1"/>
  <c r="L9" i="6"/>
  <c r="B13" i="5"/>
  <c r="B12" i="5"/>
  <c r="K15" i="6"/>
  <c r="N15" i="6"/>
  <c r="K19" i="6"/>
  <c r="N19" i="6"/>
  <c r="K17" i="6"/>
  <c r="N17" i="6"/>
  <c r="N22" i="6"/>
  <c r="K22" i="6"/>
  <c r="N10" i="6"/>
  <c r="H19" i="2"/>
  <c r="K10" i="6"/>
  <c r="I19" i="2" s="1"/>
  <c r="P13" i="4"/>
  <c r="E11" i="2"/>
  <c r="L2" i="6"/>
  <c r="H2" i="6"/>
  <c r="M2" i="6"/>
  <c r="L5" i="6"/>
  <c r="E14" i="2"/>
  <c r="M5" i="6"/>
  <c r="H5" i="6"/>
  <c r="K14" i="4"/>
  <c r="L16" i="6"/>
  <c r="M16" i="6"/>
  <c r="H16" i="6"/>
  <c r="AE13" i="6"/>
  <c r="J13" i="6"/>
  <c r="G13" i="6"/>
  <c r="AF13" i="6"/>
  <c r="K12" i="6"/>
  <c r="N12" i="6"/>
  <c r="H17" i="6" l="1"/>
  <c r="M17" i="6"/>
  <c r="E18" i="2"/>
  <c r="H9" i="6"/>
  <c r="F18" i="2" s="1"/>
  <c r="K18" i="6"/>
  <c r="L15" i="6"/>
  <c r="P15" i="6" s="1"/>
  <c r="L8" i="6"/>
  <c r="O8" i="6" s="1"/>
  <c r="H8" i="6"/>
  <c r="F17" i="2" s="1"/>
  <c r="K2" i="6"/>
  <c r="I11" i="2" s="1"/>
  <c r="M15" i="6"/>
  <c r="R15" i="6" s="1"/>
  <c r="N2" i="6"/>
  <c r="S2" i="6" s="1"/>
  <c r="M8" i="6"/>
  <c r="Q8" i="6" s="1"/>
  <c r="L12" i="6"/>
  <c r="P12" i="6" s="1"/>
  <c r="H12" i="6"/>
  <c r="U12" i="6" s="1"/>
  <c r="N6" i="6"/>
  <c r="S6" i="6" s="1"/>
  <c r="M21" i="6"/>
  <c r="R21" i="6" s="1"/>
  <c r="H15" i="2"/>
  <c r="H21" i="6"/>
  <c r="K11" i="6"/>
  <c r="I20" i="2" s="1"/>
  <c r="M20" i="6"/>
  <c r="R20" i="6" s="1"/>
  <c r="L21" i="6"/>
  <c r="O21" i="6" s="1"/>
  <c r="H20" i="6"/>
  <c r="H11" i="6"/>
  <c r="H19" i="6"/>
  <c r="U19" i="6" s="1"/>
  <c r="H20" i="2"/>
  <c r="H22" i="6"/>
  <c r="U22" i="6" s="1"/>
  <c r="N5" i="6"/>
  <c r="T5" i="6" s="1"/>
  <c r="E13" i="2"/>
  <c r="L19" i="6"/>
  <c r="P19" i="6" s="1"/>
  <c r="M4" i="6"/>
  <c r="Q4" i="6" s="1"/>
  <c r="H10" i="6"/>
  <c r="F19" i="2" s="1"/>
  <c r="L4" i="6"/>
  <c r="P4" i="6" s="1"/>
  <c r="E19" i="2"/>
  <c r="L10" i="6"/>
  <c r="O10" i="6" s="1"/>
  <c r="N21" i="6"/>
  <c r="S21" i="6" s="1"/>
  <c r="K20" i="6"/>
  <c r="K16" i="6"/>
  <c r="U16" i="6" s="1"/>
  <c r="K5" i="6"/>
  <c r="I14" i="2" s="1"/>
  <c r="H14" i="6"/>
  <c r="M18" i="6"/>
  <c r="R18" i="6" s="1"/>
  <c r="L14" i="6"/>
  <c r="P14" i="6" s="1"/>
  <c r="H18" i="6"/>
  <c r="K21" i="6"/>
  <c r="E20" i="2"/>
  <c r="M22" i="6"/>
  <c r="R22" i="6" s="1"/>
  <c r="M11" i="6"/>
  <c r="R11" i="6" s="1"/>
  <c r="K4" i="6"/>
  <c r="I13" i="2" s="1"/>
  <c r="N4" i="6"/>
  <c r="K13" i="2" s="1"/>
  <c r="H7" i="6"/>
  <c r="M7" i="6"/>
  <c r="R7" i="6" s="1"/>
  <c r="E16" i="2"/>
  <c r="H17" i="2"/>
  <c r="N8" i="6"/>
  <c r="K8" i="6"/>
  <c r="E12" i="2"/>
  <c r="L3" i="6"/>
  <c r="P3" i="6" s="1"/>
  <c r="M3" i="6"/>
  <c r="Q3" i="6" s="1"/>
  <c r="N7" i="6"/>
  <c r="K16" i="2" s="1"/>
  <c r="K7" i="6"/>
  <c r="I16" i="2" s="1"/>
  <c r="K14" i="6"/>
  <c r="L6" i="6"/>
  <c r="H6" i="6"/>
  <c r="F15" i="2" s="1"/>
  <c r="E15" i="2"/>
  <c r="M6" i="6"/>
  <c r="T20" i="6"/>
  <c r="S20" i="6"/>
  <c r="S16" i="6"/>
  <c r="T16" i="6"/>
  <c r="S12" i="6"/>
  <c r="T12" i="6"/>
  <c r="P20" i="6"/>
  <c r="O20" i="6"/>
  <c r="T10" i="6"/>
  <c r="S10" i="6"/>
  <c r="K19" i="2"/>
  <c r="F14" i="2"/>
  <c r="T22" i="6"/>
  <c r="S22" i="6"/>
  <c r="T18" i="6"/>
  <c r="S18" i="6"/>
  <c r="P11" i="6"/>
  <c r="O11" i="6"/>
  <c r="R5" i="6"/>
  <c r="Q5" i="6"/>
  <c r="J14" i="2"/>
  <c r="F13" i="2"/>
  <c r="T17" i="6"/>
  <c r="S17" i="6"/>
  <c r="P18" i="6"/>
  <c r="O18" i="6"/>
  <c r="T9" i="6"/>
  <c r="S9" i="6"/>
  <c r="K18" i="2"/>
  <c r="P7" i="6"/>
  <c r="O7" i="6"/>
  <c r="U17" i="6"/>
  <c r="H12" i="2"/>
  <c r="V22" i="4"/>
  <c r="N3" i="6"/>
  <c r="K3" i="6"/>
  <c r="I12" i="2" s="1"/>
  <c r="Q17" i="6"/>
  <c r="R17" i="6"/>
  <c r="Q14" i="6"/>
  <c r="R14" i="6"/>
  <c r="T11" i="6"/>
  <c r="S11" i="6"/>
  <c r="K20" i="2"/>
  <c r="O5" i="6"/>
  <c r="P5" i="6"/>
  <c r="S15" i="6"/>
  <c r="T15" i="6"/>
  <c r="P16" i="6"/>
  <c r="O16" i="6"/>
  <c r="R2" i="6"/>
  <c r="Q2" i="6"/>
  <c r="J11" i="2"/>
  <c r="P17" i="6"/>
  <c r="O17" i="6"/>
  <c r="L13" i="6"/>
  <c r="M13" i="6"/>
  <c r="H13" i="6"/>
  <c r="F11" i="2"/>
  <c r="P22" i="6"/>
  <c r="O22" i="6"/>
  <c r="U15" i="6"/>
  <c r="F12" i="2"/>
  <c r="B6" i="2"/>
  <c r="R16" i="6"/>
  <c r="Q16" i="6"/>
  <c r="K13" i="6"/>
  <c r="N13" i="6"/>
  <c r="K15" i="4"/>
  <c r="P2" i="6"/>
  <c r="O2" i="6"/>
  <c r="P14" i="4"/>
  <c r="R10" i="6"/>
  <c r="J19" i="2"/>
  <c r="Q10" i="6"/>
  <c r="R12" i="6"/>
  <c r="Q12" i="6"/>
  <c r="R19" i="6"/>
  <c r="Q19" i="6"/>
  <c r="R9" i="6"/>
  <c r="Q9" i="6"/>
  <c r="J18" i="2"/>
  <c r="T14" i="6"/>
  <c r="S14" i="6"/>
  <c r="V6" i="4"/>
  <c r="T19" i="6"/>
  <c r="S19" i="6"/>
  <c r="B15" i="5"/>
  <c r="B14" i="5"/>
  <c r="O9" i="6"/>
  <c r="P9" i="6"/>
  <c r="P8" i="6" l="1"/>
  <c r="U9" i="6"/>
  <c r="U18" i="6"/>
  <c r="O15" i="6"/>
  <c r="K11" i="2"/>
  <c r="T2" i="6"/>
  <c r="Q15" i="6"/>
  <c r="O12" i="6"/>
  <c r="U2" i="6"/>
  <c r="R8" i="6"/>
  <c r="T6" i="6"/>
  <c r="Q21" i="6"/>
  <c r="K15" i="2"/>
  <c r="J17" i="2"/>
  <c r="U21" i="6"/>
  <c r="P21" i="6"/>
  <c r="U11" i="6"/>
  <c r="F20" i="2"/>
  <c r="Q20" i="6"/>
  <c r="U20" i="6"/>
  <c r="P10" i="6"/>
  <c r="T21" i="6"/>
  <c r="T4" i="6"/>
  <c r="R4" i="6"/>
  <c r="K14" i="2"/>
  <c r="J13" i="2"/>
  <c r="R3" i="6"/>
  <c r="J12" i="2"/>
  <c r="O19" i="6"/>
  <c r="Q22" i="6"/>
  <c r="U10" i="6"/>
  <c r="S4" i="6"/>
  <c r="J16" i="2"/>
  <c r="S5" i="6"/>
  <c r="U5" i="6"/>
  <c r="Q18" i="6"/>
  <c r="O14" i="6"/>
  <c r="O4" i="6"/>
  <c r="U14" i="6"/>
  <c r="Q11" i="6"/>
  <c r="O3" i="6"/>
  <c r="J20" i="2"/>
  <c r="U4" i="6"/>
  <c r="U7" i="6"/>
  <c r="T7" i="6"/>
  <c r="Q7" i="6"/>
  <c r="S7" i="6"/>
  <c r="F16" i="2"/>
  <c r="U3" i="6"/>
  <c r="I17" i="2"/>
  <c r="U8" i="6"/>
  <c r="T8" i="6"/>
  <c r="K17" i="2"/>
  <c r="S8" i="6"/>
  <c r="U6" i="6"/>
  <c r="J15" i="2"/>
  <c r="Q6" i="6"/>
  <c r="R6" i="6"/>
  <c r="U13" i="6"/>
  <c r="O6" i="6"/>
  <c r="P6" i="6"/>
  <c r="R13" i="6"/>
  <c r="Q13" i="6"/>
  <c r="P15" i="4"/>
  <c r="V23" i="4"/>
  <c r="K12" i="2"/>
  <c r="T3" i="6"/>
  <c r="S3" i="6"/>
  <c r="B16" i="5"/>
  <c r="B6" i="4"/>
  <c r="B23" i="5"/>
  <c r="B17" i="5"/>
  <c r="I27" i="4" s="1"/>
  <c r="E5" i="2"/>
  <c r="B8" i="4"/>
  <c r="B24" i="5"/>
  <c r="K16" i="4"/>
  <c r="P13" i="6"/>
  <c r="O13" i="6"/>
  <c r="T13" i="6"/>
  <c r="S13" i="6"/>
  <c r="C26" i="4" l="1"/>
  <c r="C25" i="4"/>
  <c r="C27" i="4"/>
  <c r="C28" i="4"/>
  <c r="C24" i="4"/>
  <c r="C23" i="4"/>
  <c r="C29" i="4"/>
  <c r="Q14" i="4"/>
  <c r="D22" i="4"/>
  <c r="B22" i="4"/>
  <c r="B28" i="4"/>
  <c r="E6" i="4"/>
  <c r="E8" i="4"/>
  <c r="H30" i="4"/>
  <c r="G30" i="4"/>
  <c r="I30" i="4"/>
  <c r="D21" i="4"/>
  <c r="C21" i="4"/>
  <c r="B21" i="4"/>
  <c r="D27" i="4"/>
  <c r="H22" i="4"/>
  <c r="I22" i="4"/>
  <c r="G22" i="4"/>
  <c r="C22" i="4"/>
  <c r="D31" i="4"/>
  <c r="C31" i="4"/>
  <c r="B31" i="4"/>
  <c r="B26" i="4"/>
  <c r="H26" i="4"/>
  <c r="H25" i="4"/>
  <c r="H27" i="4"/>
  <c r="H28" i="4"/>
  <c r="H24" i="4"/>
  <c r="Q13" i="4"/>
  <c r="I28" i="4"/>
  <c r="L12" i="4"/>
  <c r="C30" i="4"/>
  <c r="I24" i="4"/>
  <c r="Q12" i="4"/>
  <c r="B27" i="4"/>
  <c r="G29" i="4"/>
  <c r="G26" i="4"/>
  <c r="I26" i="4"/>
  <c r="B24" i="4"/>
  <c r="I29" i="4"/>
  <c r="D28" i="4"/>
  <c r="D23" i="4"/>
  <c r="B30" i="4"/>
  <c r="I25" i="4"/>
  <c r="D30" i="4"/>
  <c r="B23" i="4"/>
  <c r="H29" i="4"/>
  <c r="D29" i="4"/>
  <c r="B21" i="5"/>
  <c r="H23" i="4"/>
  <c r="K17" i="4"/>
  <c r="L16" i="4"/>
  <c r="Q11" i="4"/>
  <c r="L13" i="4"/>
  <c r="D26" i="4"/>
  <c r="E26" i="4" s="1"/>
  <c r="I23" i="4"/>
  <c r="L15" i="4"/>
  <c r="B22" i="5"/>
  <c r="G23" i="4"/>
  <c r="L14" i="4"/>
  <c r="E6" i="2"/>
  <c r="E7" i="4"/>
  <c r="D24" i="4"/>
  <c r="L11" i="4"/>
  <c r="G24" i="4"/>
  <c r="G27" i="4"/>
  <c r="D25" i="4"/>
  <c r="E25" i="4" s="1"/>
  <c r="B20" i="5"/>
  <c r="G28" i="4"/>
  <c r="G25" i="4"/>
  <c r="B25" i="4"/>
  <c r="P16" i="4"/>
  <c r="Q15" i="4"/>
  <c r="B29" i="4"/>
  <c r="E30" i="4" l="1"/>
  <c r="E22" i="4"/>
  <c r="E29" i="4"/>
  <c r="E28" i="4"/>
  <c r="S14" i="4"/>
  <c r="R14" i="4"/>
  <c r="B27" i="5"/>
  <c r="H5" i="4" s="1"/>
  <c r="H5" i="2"/>
  <c r="B28" i="5"/>
  <c r="E4" i="4"/>
  <c r="B26" i="5"/>
  <c r="E3" i="4"/>
  <c r="H4" i="2"/>
  <c r="B25" i="5"/>
  <c r="H3" i="4" s="1"/>
  <c r="N14" i="4"/>
  <c r="M14" i="4"/>
  <c r="S13" i="4"/>
  <c r="R13" i="4"/>
  <c r="L17" i="4"/>
  <c r="K18" i="4"/>
  <c r="E31" i="4"/>
  <c r="C32" i="4"/>
  <c r="B32" i="4"/>
  <c r="D32" i="4"/>
  <c r="N15" i="4"/>
  <c r="M15" i="4"/>
  <c r="I21" i="4"/>
  <c r="H21" i="4"/>
  <c r="G21" i="4"/>
  <c r="N11" i="4"/>
  <c r="M11" i="4"/>
  <c r="S12" i="4"/>
  <c r="R12" i="4"/>
  <c r="H6" i="2"/>
  <c r="E5" i="4"/>
  <c r="B30" i="5"/>
  <c r="B29" i="5"/>
  <c r="H7" i="4" s="1"/>
  <c r="S15" i="4"/>
  <c r="R15" i="4"/>
  <c r="S11" i="4"/>
  <c r="R11" i="4"/>
  <c r="E27" i="4"/>
  <c r="N12" i="4"/>
  <c r="M12" i="4"/>
  <c r="D20" i="4"/>
  <c r="C20" i="4"/>
  <c r="B20" i="4"/>
  <c r="E21" i="4"/>
  <c r="G31" i="4"/>
  <c r="I31" i="4"/>
  <c r="H31" i="4"/>
  <c r="M13" i="4"/>
  <c r="N13" i="4"/>
  <c r="E24" i="4"/>
  <c r="Q16" i="4"/>
  <c r="P17" i="4"/>
  <c r="N16" i="4"/>
  <c r="M16" i="4"/>
  <c r="E23" i="4"/>
  <c r="E32" i="4" l="1"/>
  <c r="K19" i="4"/>
  <c r="L18" i="4"/>
  <c r="K5" i="2"/>
  <c r="H6" i="4"/>
  <c r="H32" i="4"/>
  <c r="G32" i="4"/>
  <c r="I32" i="4"/>
  <c r="H20" i="4"/>
  <c r="G20" i="4"/>
  <c r="I20" i="4"/>
  <c r="H4" i="4"/>
  <c r="K4" i="2"/>
  <c r="P18" i="4"/>
  <c r="Q17" i="4"/>
  <c r="D19" i="4"/>
  <c r="C19" i="4"/>
  <c r="B19" i="4"/>
  <c r="R16" i="4"/>
  <c r="S16" i="4"/>
  <c r="M17" i="4"/>
  <c r="N17" i="4"/>
  <c r="K6" i="2"/>
  <c r="H8" i="4"/>
  <c r="E20" i="4"/>
  <c r="D33" i="4"/>
  <c r="C33" i="4"/>
  <c r="B33" i="4"/>
  <c r="E33" i="4" l="1"/>
  <c r="B18" i="4"/>
  <c r="D18" i="4"/>
  <c r="C18" i="4"/>
  <c r="E19" i="4"/>
  <c r="S17" i="4"/>
  <c r="R17" i="4"/>
  <c r="I33" i="4"/>
  <c r="G33" i="4"/>
  <c r="H33" i="4"/>
  <c r="Q18" i="4"/>
  <c r="P19" i="4"/>
  <c r="I19" i="4"/>
  <c r="H19" i="4"/>
  <c r="G19" i="4"/>
  <c r="M18" i="4"/>
  <c r="N18" i="4"/>
  <c r="D34" i="4"/>
  <c r="C34" i="4"/>
  <c r="B34" i="4"/>
  <c r="L19" i="4"/>
  <c r="K20" i="4"/>
  <c r="I18" i="4" l="1"/>
  <c r="G18" i="4"/>
  <c r="H18" i="4"/>
  <c r="N19" i="4"/>
  <c r="M19" i="4"/>
  <c r="C17" i="4"/>
  <c r="D17" i="4"/>
  <c r="B17" i="4"/>
  <c r="H34" i="4"/>
  <c r="G34" i="4"/>
  <c r="I34" i="4"/>
  <c r="K21" i="4"/>
  <c r="L20" i="4"/>
  <c r="Q19" i="4"/>
  <c r="P20" i="4"/>
  <c r="R18" i="4"/>
  <c r="S18" i="4"/>
  <c r="E18" i="4"/>
  <c r="B35" i="4"/>
  <c r="D35" i="4"/>
  <c r="C35" i="4"/>
  <c r="E34" i="4"/>
  <c r="E17" i="4" l="1"/>
  <c r="S19" i="4"/>
  <c r="R19" i="4"/>
  <c r="N20" i="4"/>
  <c r="M20" i="4"/>
  <c r="I17" i="4"/>
  <c r="H17" i="4"/>
  <c r="G17" i="4"/>
  <c r="D16" i="4"/>
  <c r="C16" i="4"/>
  <c r="B16" i="4"/>
  <c r="Q20" i="4"/>
  <c r="P21" i="4"/>
  <c r="L21" i="4"/>
  <c r="K22" i="4"/>
  <c r="E35" i="4"/>
  <c r="B36" i="4"/>
  <c r="D36" i="4"/>
  <c r="C36" i="4"/>
  <c r="G35" i="4"/>
  <c r="H35" i="4"/>
  <c r="I35" i="4"/>
  <c r="E16" i="4" l="1"/>
  <c r="L22" i="4"/>
  <c r="K23" i="4"/>
  <c r="M21" i="4"/>
  <c r="N21" i="4"/>
  <c r="P22" i="4"/>
  <c r="Q21" i="4"/>
  <c r="E36" i="4"/>
  <c r="G16" i="4"/>
  <c r="I16" i="4"/>
  <c r="H16" i="4"/>
  <c r="R20" i="4"/>
  <c r="S20" i="4"/>
  <c r="G36" i="4"/>
  <c r="H36" i="4"/>
  <c r="I36" i="4"/>
  <c r="C37" i="4"/>
  <c r="B37" i="4"/>
  <c r="D37" i="4"/>
  <c r="C15" i="4"/>
  <c r="B15" i="4"/>
  <c r="D15" i="4"/>
  <c r="E15" i="4" l="1"/>
  <c r="S21" i="4"/>
  <c r="R21" i="4"/>
  <c r="P23" i="4"/>
  <c r="Q22" i="4"/>
  <c r="D38" i="4"/>
  <c r="C38" i="4"/>
  <c r="B38" i="4"/>
  <c r="H37" i="4"/>
  <c r="G37" i="4"/>
  <c r="I37" i="4"/>
  <c r="D14" i="4"/>
  <c r="B14" i="4"/>
  <c r="C14" i="4"/>
  <c r="K24" i="4"/>
  <c r="L23" i="4"/>
  <c r="E37" i="4"/>
  <c r="M22" i="4"/>
  <c r="N22" i="4"/>
  <c r="I15" i="4"/>
  <c r="H15" i="4"/>
  <c r="G15" i="4"/>
  <c r="B39" i="4" l="1"/>
  <c r="C39" i="4"/>
  <c r="D39" i="4"/>
  <c r="M23" i="4"/>
  <c r="N23" i="4"/>
  <c r="L24" i="4"/>
  <c r="K25" i="4"/>
  <c r="L25" i="4" s="1"/>
  <c r="R22" i="4"/>
  <c r="S22" i="4"/>
  <c r="B13" i="4"/>
  <c r="C13" i="4"/>
  <c r="D13" i="4"/>
  <c r="G14" i="4"/>
  <c r="H14" i="4"/>
  <c r="I14" i="4"/>
  <c r="E38" i="4"/>
  <c r="E14" i="4"/>
  <c r="P24" i="4"/>
  <c r="Q23" i="4"/>
  <c r="I38" i="4"/>
  <c r="H38" i="4"/>
  <c r="G38" i="4"/>
  <c r="E13" i="4" l="1"/>
  <c r="E39" i="4"/>
  <c r="G13" i="4"/>
  <c r="H13" i="4"/>
  <c r="I13" i="4"/>
  <c r="D12" i="4"/>
  <c r="B12" i="4"/>
  <c r="C12" i="4"/>
  <c r="N24" i="4"/>
  <c r="M24" i="4"/>
  <c r="I39" i="4"/>
  <c r="H39" i="4"/>
  <c r="G39" i="4"/>
  <c r="S23" i="4"/>
  <c r="R23" i="4"/>
  <c r="N25" i="4"/>
  <c r="M25" i="4"/>
  <c r="P25" i="4"/>
  <c r="Q25" i="4" s="1"/>
  <c r="Q24" i="4"/>
  <c r="D40" i="4"/>
  <c r="C40" i="4"/>
  <c r="B40" i="4"/>
  <c r="R25" i="4" l="1"/>
  <c r="S25" i="4"/>
  <c r="B11" i="4"/>
  <c r="C11" i="4"/>
  <c r="D11" i="4"/>
  <c r="E40" i="4"/>
  <c r="G40" i="4"/>
  <c r="I40" i="4"/>
  <c r="H40" i="4"/>
  <c r="G12" i="4"/>
  <c r="H12" i="4"/>
  <c r="I12" i="4"/>
  <c r="R24" i="4"/>
  <c r="S24" i="4"/>
  <c r="E12" i="4"/>
  <c r="B41" i="4"/>
  <c r="C41" i="4"/>
  <c r="D41" i="4"/>
  <c r="E11" i="4" l="1"/>
  <c r="G41" i="4"/>
  <c r="I41" i="4"/>
  <c r="H41" i="4"/>
  <c r="C42" i="4"/>
  <c r="B42" i="4"/>
  <c r="D42" i="4"/>
  <c r="I11" i="4"/>
  <c r="H11" i="4"/>
  <c r="G11" i="4"/>
  <c r="E41" i="4"/>
  <c r="E42" i="4" l="1"/>
  <c r="H42" i="4"/>
  <c r="G42" i="4"/>
  <c r="I42" i="4"/>
  <c r="H43" i="4" l="1"/>
  <c r="G43" i="4"/>
  <c r="I43" i="4"/>
  <c r="H44" i="4" l="1"/>
  <c r="I44" i="4"/>
  <c r="G44" i="4"/>
  <c r="H45" i="4" l="1"/>
  <c r="G45" i="4"/>
  <c r="I45" i="4"/>
  <c r="H46" i="4" l="1"/>
  <c r="G46" i="4"/>
  <c r="I46" i="4"/>
  <c r="H47" i="4" l="1"/>
  <c r="G47" i="4"/>
  <c r="I47" i="4"/>
  <c r="H48" i="4" l="1"/>
  <c r="I48" i="4"/>
  <c r="G48" i="4"/>
  <c r="H49" i="4" l="1"/>
  <c r="G49" i="4"/>
  <c r="I49" i="4"/>
  <c r="H50" i="4" l="1"/>
  <c r="I50" i="4"/>
  <c r="G50" i="4"/>
  <c r="H51" i="4" l="1"/>
  <c r="G51" i="4"/>
  <c r="I51" i="4"/>
  <c r="H52" i="4" l="1"/>
  <c r="I52" i="4"/>
  <c r="G52" i="4"/>
  <c r="H53" i="4" l="1"/>
  <c r="G53" i="4"/>
  <c r="I53" i="4"/>
  <c r="H54" i="4" l="1"/>
  <c r="G54" i="4"/>
  <c r="I54" i="4"/>
  <c r="H55" i="4" l="1"/>
  <c r="G55" i="4"/>
  <c r="I55" i="4"/>
  <c r="H56" i="4" l="1"/>
  <c r="I56" i="4"/>
  <c r="G56" i="4"/>
  <c r="H57" i="4" l="1"/>
  <c r="G57" i="4"/>
  <c r="I57" i="4"/>
  <c r="H58" i="4" l="1"/>
  <c r="I58" i="4"/>
  <c r="G58" i="4"/>
  <c r="H59" i="4" l="1"/>
  <c r="G59" i="4"/>
  <c r="I59" i="4"/>
  <c r="H60" i="4" l="1"/>
  <c r="G60" i="4"/>
  <c r="I60" i="4"/>
  <c r="H61" i="4" l="1"/>
  <c r="G61" i="4"/>
  <c r="I61" i="4"/>
  <c r="H62" i="4" l="1"/>
  <c r="I62" i="4"/>
  <c r="G62" i="4"/>
</calcChain>
</file>

<file path=xl/sharedStrings.xml><?xml version="1.0" encoding="utf-8"?>
<sst xmlns="http://schemas.openxmlformats.org/spreadsheetml/2006/main" count="6249" uniqueCount="2245">
  <si>
    <t>Odds API Name</t>
  </si>
  <si>
    <t>KenPom Name</t>
  </si>
  <si>
    <t>Abilene Christian Wildcats</t>
  </si>
  <si>
    <t>Abilene Christian</t>
  </si>
  <si>
    <t>Air Force Falcons</t>
  </si>
  <si>
    <t>Air Force</t>
  </si>
  <si>
    <t>Akron Zips</t>
  </si>
  <si>
    <t>Akron</t>
  </si>
  <si>
    <t>Alabama A&amp;M Bulldogs</t>
  </si>
  <si>
    <t>Alabama A&amp;M</t>
  </si>
  <si>
    <t>Alabama Crimson Tide</t>
  </si>
  <si>
    <t>Alabama</t>
  </si>
  <si>
    <t>Alabama St Hornets</t>
  </si>
  <si>
    <t>Alabama St.</t>
  </si>
  <si>
    <t>Albany Great Danes</t>
  </si>
  <si>
    <t>Albany</t>
  </si>
  <si>
    <t>Alcorn St Braves</t>
  </si>
  <si>
    <t>Alcorn St.</t>
  </si>
  <si>
    <t>American Eagles</t>
  </si>
  <si>
    <t>American</t>
  </si>
  <si>
    <t>Appalachian St Mountaineers</t>
  </si>
  <si>
    <t>Appalachian St.</t>
  </si>
  <si>
    <t>Arizona St Sun Devils</t>
  </si>
  <si>
    <t>Arizona St.</t>
  </si>
  <si>
    <t>Arizona Wildcats</t>
  </si>
  <si>
    <t>Arizona</t>
  </si>
  <si>
    <t>Arkansas Razorbacks</t>
  </si>
  <si>
    <t>Arkansas</t>
  </si>
  <si>
    <t>Arkansas St Red Wolves</t>
  </si>
  <si>
    <t>Arkansas St.</t>
  </si>
  <si>
    <t>Arkansas-Little Rock Trojans</t>
  </si>
  <si>
    <t>Little Rock</t>
  </si>
  <si>
    <t>Arkansas-Pine Bluff Golden Lions</t>
  </si>
  <si>
    <t>Arkansas Pine Bluff</t>
  </si>
  <si>
    <t>Army Knights</t>
  </si>
  <si>
    <t>Army</t>
  </si>
  <si>
    <t>Auburn Tigers</t>
  </si>
  <si>
    <t>Auburn</t>
  </si>
  <si>
    <t>Austin Peay Governors</t>
  </si>
  <si>
    <t>Austin Peay</t>
  </si>
  <si>
    <t>BYU Cougars</t>
  </si>
  <si>
    <t>BYU</t>
  </si>
  <si>
    <t>Ball State Cardinals</t>
  </si>
  <si>
    <t>Ball St.</t>
  </si>
  <si>
    <t>Baylor Bears</t>
  </si>
  <si>
    <t>Baylor</t>
  </si>
  <si>
    <t>Bellarmine Knights</t>
  </si>
  <si>
    <t>Bellarmine</t>
  </si>
  <si>
    <t>Belmont Bruins</t>
  </si>
  <si>
    <t>Belmont</t>
  </si>
  <si>
    <t>Bethune-Cookman Wildcats</t>
  </si>
  <si>
    <t>Bethune Cookman</t>
  </si>
  <si>
    <t>Binghamton Bearcats</t>
  </si>
  <si>
    <t>Binghamton</t>
  </si>
  <si>
    <t>Boise St Broncos</t>
  </si>
  <si>
    <t>Boise St.</t>
  </si>
  <si>
    <t>Boston College Eagles</t>
  </si>
  <si>
    <t>Boston College</t>
  </si>
  <si>
    <t>Boston Univ. Terriers</t>
  </si>
  <si>
    <t>Boston University</t>
  </si>
  <si>
    <t>Bowling Green Falcons</t>
  </si>
  <si>
    <t>Bowling Green</t>
  </si>
  <si>
    <t>Bradley Braves</t>
  </si>
  <si>
    <t>Bradley</t>
  </si>
  <si>
    <t>Brown Bears</t>
  </si>
  <si>
    <t>Brown</t>
  </si>
  <si>
    <t>Bryant Bulldogs</t>
  </si>
  <si>
    <t>Bryant</t>
  </si>
  <si>
    <t>Bucknell Bison</t>
  </si>
  <si>
    <t>Bucknell</t>
  </si>
  <si>
    <t>Buffalo Bulls</t>
  </si>
  <si>
    <t>Buffalo</t>
  </si>
  <si>
    <t>Butler Bulldogs</t>
  </si>
  <si>
    <t>Butler</t>
  </si>
  <si>
    <t>Cal Baptist Lancers</t>
  </si>
  <si>
    <t>Cal Baptist</t>
  </si>
  <si>
    <t>Cal Poly Mustangs</t>
  </si>
  <si>
    <t>Cal Poly</t>
  </si>
  <si>
    <t>Cal St Bakersfield Roadrunners</t>
  </si>
  <si>
    <t>Cal St. Bakersfield</t>
  </si>
  <si>
    <t>Cal St Fullerton Titans</t>
  </si>
  <si>
    <t>Cal St. Fullerton</t>
  </si>
  <si>
    <t>Cal St Northridge Matadors</t>
  </si>
  <si>
    <t>CSUN</t>
  </si>
  <si>
    <t>California Golden Bears</t>
  </si>
  <si>
    <t>California</t>
  </si>
  <si>
    <t>Campbell Fighting Camels</t>
  </si>
  <si>
    <t>Campbell</t>
  </si>
  <si>
    <t>Canisius Golden Griffins</t>
  </si>
  <si>
    <t>Canisius</t>
  </si>
  <si>
    <t>Central Arkansas Bears</t>
  </si>
  <si>
    <t>Central Arkansas</t>
  </si>
  <si>
    <t>Central Connecticut Blue Devils</t>
  </si>
  <si>
    <t>Central Connecticut</t>
  </si>
  <si>
    <t>Central Michigan Chippewas</t>
  </si>
  <si>
    <t>Central Michigan</t>
  </si>
  <si>
    <t>Charleston Cougars</t>
  </si>
  <si>
    <t>Charleston</t>
  </si>
  <si>
    <t>Charleston Southern Buccaneers</t>
  </si>
  <si>
    <t>Charleston Southern</t>
  </si>
  <si>
    <t>Charlotte 49ers</t>
  </si>
  <si>
    <t>Charlotte</t>
  </si>
  <si>
    <t>Chattanooga Mocs</t>
  </si>
  <si>
    <t>Chattanooga</t>
  </si>
  <si>
    <t>Chicago St Cougars</t>
  </si>
  <si>
    <t>Chicago St.</t>
  </si>
  <si>
    <t>Cincinnati Bearcats</t>
  </si>
  <si>
    <t>Cincinnati</t>
  </si>
  <si>
    <t>Clemson Tigers</t>
  </si>
  <si>
    <t>Clemson</t>
  </si>
  <si>
    <t>Cleveland St Vikings</t>
  </si>
  <si>
    <t>Cleveland St.</t>
  </si>
  <si>
    <t>Coastal Carolina Chanticleers</t>
  </si>
  <si>
    <t>Coastal Carolina</t>
  </si>
  <si>
    <t>Colgate Raiders</t>
  </si>
  <si>
    <t>Colgate</t>
  </si>
  <si>
    <t>Colorado Buffaloes</t>
  </si>
  <si>
    <t>Colorado</t>
  </si>
  <si>
    <t>Colorado St Rams</t>
  </si>
  <si>
    <t>Colorado St.</t>
  </si>
  <si>
    <t>Columbia Lions</t>
  </si>
  <si>
    <t>Columbia</t>
  </si>
  <si>
    <t>Connecticut Huskies</t>
  </si>
  <si>
    <t>Connecticut</t>
  </si>
  <si>
    <t>Coppin St Eagles</t>
  </si>
  <si>
    <t>Coppin St.</t>
  </si>
  <si>
    <t>Cornell Big Red</t>
  </si>
  <si>
    <t>Cornell</t>
  </si>
  <si>
    <t>Creighton Bluejays</t>
  </si>
  <si>
    <t>Creighton</t>
  </si>
  <si>
    <t>Dartmouth Big Green</t>
  </si>
  <si>
    <t>Dartmouth</t>
  </si>
  <si>
    <t>Davidson Wildcats</t>
  </si>
  <si>
    <t>Davidson</t>
  </si>
  <si>
    <t>Dayton Flyers</t>
  </si>
  <si>
    <t>Dayton</t>
  </si>
  <si>
    <t>DePaul Blue Demons</t>
  </si>
  <si>
    <t>DePaul</t>
  </si>
  <si>
    <t>Delaware Blue Hens</t>
  </si>
  <si>
    <t>Delaware</t>
  </si>
  <si>
    <t>Delaware St Hornets</t>
  </si>
  <si>
    <t>Delaware St.</t>
  </si>
  <si>
    <t>Denver Pioneers</t>
  </si>
  <si>
    <t>Denver</t>
  </si>
  <si>
    <t>Detroit Mercy Titans</t>
  </si>
  <si>
    <t>Detroit Mercy</t>
  </si>
  <si>
    <t>Drake Bulldogs</t>
  </si>
  <si>
    <t>Drake</t>
  </si>
  <si>
    <t>Drexel Dragons</t>
  </si>
  <si>
    <t>Drexel</t>
  </si>
  <si>
    <t>Duke Blue Devils</t>
  </si>
  <si>
    <t>Duke</t>
  </si>
  <si>
    <t>Duquesne Dukes</t>
  </si>
  <si>
    <t>Duquesne</t>
  </si>
  <si>
    <t>East Carolina Pirates</t>
  </si>
  <si>
    <t>East Carolina</t>
  </si>
  <si>
    <t>East Tennessee St Buccaneers</t>
  </si>
  <si>
    <t>East Tennessee St.</t>
  </si>
  <si>
    <t>East Texas A&amp;M Lions</t>
  </si>
  <si>
    <t>East Texas A&amp;M</t>
  </si>
  <si>
    <t>Eastern Illinois Panthers</t>
  </si>
  <si>
    <t>Eastern Illinois</t>
  </si>
  <si>
    <t>Eastern Kentucky Colonels</t>
  </si>
  <si>
    <t>Eastern Kentucky</t>
  </si>
  <si>
    <t>Eastern Michigan Eagles</t>
  </si>
  <si>
    <t>Eastern Michigan</t>
  </si>
  <si>
    <t>Eastern Washington Eagles</t>
  </si>
  <si>
    <t>Eastern Washington</t>
  </si>
  <si>
    <t>Elon Phoenix</t>
  </si>
  <si>
    <t>Elon</t>
  </si>
  <si>
    <t>Evansville Purple Aces</t>
  </si>
  <si>
    <t>Evansville</t>
  </si>
  <si>
    <t>FIU Panthers</t>
  </si>
  <si>
    <t>FIU</t>
  </si>
  <si>
    <t>Fairfield Stags</t>
  </si>
  <si>
    <t>Fairfield</t>
  </si>
  <si>
    <t>Fairleigh Dickinson Knights</t>
  </si>
  <si>
    <t>Fairleigh Dickinson</t>
  </si>
  <si>
    <t>Florida A&amp;M Rattlers</t>
  </si>
  <si>
    <t>Florida A&amp;M</t>
  </si>
  <si>
    <t>Florida Atlantic Owls</t>
  </si>
  <si>
    <t>Florida Atlantic</t>
  </si>
  <si>
    <t>Florida Gators</t>
  </si>
  <si>
    <t>Florida</t>
  </si>
  <si>
    <t>Florida Gulf Coast Eagles</t>
  </si>
  <si>
    <t>Florida Gulf Coast</t>
  </si>
  <si>
    <t>Florida St Seminoles</t>
  </si>
  <si>
    <t>Florida St.</t>
  </si>
  <si>
    <t>Fordham Rams</t>
  </si>
  <si>
    <t>Fordham</t>
  </si>
  <si>
    <t>Fresno St Bulldogs</t>
  </si>
  <si>
    <t>Fresno St.</t>
  </si>
  <si>
    <t>Furman Paladins</t>
  </si>
  <si>
    <t>Furman</t>
  </si>
  <si>
    <t>Gardner-Webb Bulldogs</t>
  </si>
  <si>
    <t>Gardner Webb</t>
  </si>
  <si>
    <t>George Mason Patriots</t>
  </si>
  <si>
    <t>George Mason</t>
  </si>
  <si>
    <t>George Washington Revolutionaries</t>
  </si>
  <si>
    <t>George Washington</t>
  </si>
  <si>
    <t>Georgetown Hoyas</t>
  </si>
  <si>
    <t>Georgetown</t>
  </si>
  <si>
    <t>Georgia Bulldogs</t>
  </si>
  <si>
    <t>Georgia</t>
  </si>
  <si>
    <t>Georgia Southern Eagles</t>
  </si>
  <si>
    <t>Georgia Southern</t>
  </si>
  <si>
    <t>Georgia St Panthers</t>
  </si>
  <si>
    <t>Georgia St.</t>
  </si>
  <si>
    <t>Georgia Tech Yellow Jackets</t>
  </si>
  <si>
    <t>Georgia Tech</t>
  </si>
  <si>
    <t>Gonzaga Bulldogs</t>
  </si>
  <si>
    <t>Gonzaga</t>
  </si>
  <si>
    <t>Grambling St Tigers</t>
  </si>
  <si>
    <t>Grambling St.</t>
  </si>
  <si>
    <t>Grand Canyon Antelopes</t>
  </si>
  <si>
    <t>Grand Canyon</t>
  </si>
  <si>
    <t>Green Bay Phoenix</t>
  </si>
  <si>
    <t>Green Bay</t>
  </si>
  <si>
    <t>Hampton Pirates</t>
  </si>
  <si>
    <t>Hampton</t>
  </si>
  <si>
    <t>Harvard Crimson</t>
  </si>
  <si>
    <t>Harvard</t>
  </si>
  <si>
    <t>Hawaii Rainbow Warriors</t>
  </si>
  <si>
    <t>Hawaii</t>
  </si>
  <si>
    <t>High Point Panthers</t>
  </si>
  <si>
    <t>High Point</t>
  </si>
  <si>
    <t>Hofstra Pride</t>
  </si>
  <si>
    <t>Hofstra</t>
  </si>
  <si>
    <t>Holy Cross Crusaders</t>
  </si>
  <si>
    <t>Holy Cross</t>
  </si>
  <si>
    <t>Houston Christian Huskies</t>
  </si>
  <si>
    <t>Houston Christian</t>
  </si>
  <si>
    <t>Houston Cougars</t>
  </si>
  <si>
    <t>Houston</t>
  </si>
  <si>
    <t>Howard Bison</t>
  </si>
  <si>
    <t>Howard</t>
  </si>
  <si>
    <t>IU Indianapolis Jaguars</t>
  </si>
  <si>
    <t>IU Indy</t>
  </si>
  <si>
    <t>Idaho St Bengals</t>
  </si>
  <si>
    <t>Idaho St.</t>
  </si>
  <si>
    <t>Idaho Vandals</t>
  </si>
  <si>
    <t>Idaho</t>
  </si>
  <si>
    <t>Illinois Fighting Illini</t>
  </si>
  <si>
    <t>Illinois</t>
  </si>
  <si>
    <t>Illinois St Redbirds</t>
  </si>
  <si>
    <t>Illinois St.</t>
  </si>
  <si>
    <t>Illinois-Chicago Flames</t>
  </si>
  <si>
    <t>Illinois Chicago</t>
  </si>
  <si>
    <t>Incarnate Word Cardinals</t>
  </si>
  <si>
    <t>Incarnate Word</t>
  </si>
  <si>
    <t>Indiana Hoosiers</t>
  </si>
  <si>
    <t>Indiana</t>
  </si>
  <si>
    <t>Indiana St Sycamores</t>
  </si>
  <si>
    <t>Indiana St.</t>
  </si>
  <si>
    <t>Iona Gaels</t>
  </si>
  <si>
    <t>Iona</t>
  </si>
  <si>
    <t>Iowa Hawkeyes</t>
  </si>
  <si>
    <t>Iowa</t>
  </si>
  <si>
    <t>Iowa St Cyclones</t>
  </si>
  <si>
    <t>Iowa St.</t>
  </si>
  <si>
    <t>Jackson St Tigers</t>
  </si>
  <si>
    <t>Jackson St.</t>
  </si>
  <si>
    <t>Jacksonville Dolphins</t>
  </si>
  <si>
    <t>Jacksonville</t>
  </si>
  <si>
    <t>Jacksonville St Gamecocks</t>
  </si>
  <si>
    <t>Jacksonville St.</t>
  </si>
  <si>
    <t>James Madison Dukes</t>
  </si>
  <si>
    <t>James Madison</t>
  </si>
  <si>
    <t>Kansas City Roos</t>
  </si>
  <si>
    <t>Kansas City</t>
  </si>
  <si>
    <t>Kansas Jayhawks</t>
  </si>
  <si>
    <t>Kansas</t>
  </si>
  <si>
    <t>Kansas St Wildcats</t>
  </si>
  <si>
    <t>Kansas St.</t>
  </si>
  <si>
    <t>Kennesaw St Owls</t>
  </si>
  <si>
    <t>Kennesaw St.</t>
  </si>
  <si>
    <t>Kent St Golden Flashes</t>
  </si>
  <si>
    <t>Kent St.</t>
  </si>
  <si>
    <t>Kentucky Wildcats</t>
  </si>
  <si>
    <t>Kentucky</t>
  </si>
  <si>
    <t>LSU Tigers</t>
  </si>
  <si>
    <t>LSU</t>
  </si>
  <si>
    <t>La Salle Explorers</t>
  </si>
  <si>
    <t>La Salle</t>
  </si>
  <si>
    <t>Lafayette Leopards</t>
  </si>
  <si>
    <t>Lafayette</t>
  </si>
  <si>
    <t>Lamar Cardinals</t>
  </si>
  <si>
    <t>Lamar</t>
  </si>
  <si>
    <t>Le Moyne Dolphins</t>
  </si>
  <si>
    <t>Le Moyne</t>
  </si>
  <si>
    <t>Lehigh Mountain Hawks</t>
  </si>
  <si>
    <t>Lehigh</t>
  </si>
  <si>
    <t>Liberty Flames</t>
  </si>
  <si>
    <t>Liberty</t>
  </si>
  <si>
    <t>Lindenwood Lions</t>
  </si>
  <si>
    <t>Lindenwood</t>
  </si>
  <si>
    <t>Lipscomb Bisons</t>
  </si>
  <si>
    <t>Lipscomb</t>
  </si>
  <si>
    <t>Long Beach St 49ers</t>
  </si>
  <si>
    <t>Long Beach St.</t>
  </si>
  <si>
    <t>Long Island Sharks</t>
  </si>
  <si>
    <t>LIU</t>
  </si>
  <si>
    <t>Longwood Lancers</t>
  </si>
  <si>
    <t>Longwood</t>
  </si>
  <si>
    <t>Louisiana Monroe Warhawks</t>
  </si>
  <si>
    <t>Louisiana Monroe</t>
  </si>
  <si>
    <t>Louisiana Ragin Cajuns</t>
  </si>
  <si>
    <t>Louisiana</t>
  </si>
  <si>
    <t>Louisiana Tech Bulldogs</t>
  </si>
  <si>
    <t>Louisiana Tech</t>
  </si>
  <si>
    <t>Louisville Cardinals</t>
  </si>
  <si>
    <t>Louisville</t>
  </si>
  <si>
    <t>Loyola Chicago Ramblers</t>
  </si>
  <si>
    <t>Loyola Chicago</t>
  </si>
  <si>
    <t>Loyola MD Greyhounds</t>
  </si>
  <si>
    <t>Loyola MD</t>
  </si>
  <si>
    <t>Loyola Marymount Lions</t>
  </si>
  <si>
    <t>Loyola Marymount</t>
  </si>
  <si>
    <t>Maine Black Bears</t>
  </si>
  <si>
    <t>Maine</t>
  </si>
  <si>
    <t>Manhattan Jaspers</t>
  </si>
  <si>
    <t>Manhattan</t>
  </si>
  <si>
    <t>Marist Red Foxes</t>
  </si>
  <si>
    <t>Marist</t>
  </si>
  <si>
    <t>Marquette Golden Eagles</t>
  </si>
  <si>
    <t>Marquette</t>
  </si>
  <si>
    <t>Marshall Thundering Herd</t>
  </si>
  <si>
    <t>Marshall</t>
  </si>
  <si>
    <t>Maryland Terrapins</t>
  </si>
  <si>
    <t>Maryland</t>
  </si>
  <si>
    <t>Maryland-Eastern Shore Hawks</t>
  </si>
  <si>
    <t>Maryland Eastern Shore</t>
  </si>
  <si>
    <t>Massachusetts Minutemen</t>
  </si>
  <si>
    <t>Massachusetts</t>
  </si>
  <si>
    <t>McNeese Cowboys</t>
  </si>
  <si>
    <t>McNeese</t>
  </si>
  <si>
    <t>Memphis Tigers</t>
  </si>
  <si>
    <t>Memphis</t>
  </si>
  <si>
    <t>Mercer Bears</t>
  </si>
  <si>
    <t>Mercer</t>
  </si>
  <si>
    <t>Mercyhurst Lakers</t>
  </si>
  <si>
    <t>Mercyhurst</t>
  </si>
  <si>
    <t>Merrimack Warriors</t>
  </si>
  <si>
    <t>Merrimack</t>
  </si>
  <si>
    <t>Miami Hurricanes</t>
  </si>
  <si>
    <t>Miami FL</t>
  </si>
  <si>
    <t>Miami OH RedHawks</t>
  </si>
  <si>
    <t>Miami OH</t>
  </si>
  <si>
    <t>Michigan St Spartans</t>
  </si>
  <si>
    <t>Michigan St.</t>
  </si>
  <si>
    <t>Michigan Wolverines</t>
  </si>
  <si>
    <t>Michigan</t>
  </si>
  <si>
    <t>Middle Tennessee Blue Raiders</t>
  </si>
  <si>
    <t>Middle Tennessee</t>
  </si>
  <si>
    <t>Milwaukee Panthers</t>
  </si>
  <si>
    <t>Milwaukee</t>
  </si>
  <si>
    <t>Minnesota Golden Gophers</t>
  </si>
  <si>
    <t>Minnesota</t>
  </si>
  <si>
    <t>Mississippi St Bulldogs</t>
  </si>
  <si>
    <t>Mississippi St.</t>
  </si>
  <si>
    <t>Mississippi Valley St Delta Devils</t>
  </si>
  <si>
    <t>Mississippi Valley St.</t>
  </si>
  <si>
    <t>Missouri St Bears</t>
  </si>
  <si>
    <t>Missouri St.</t>
  </si>
  <si>
    <t>Missouri Tigers</t>
  </si>
  <si>
    <t>Missouri</t>
  </si>
  <si>
    <t>Monmouth Hawks</t>
  </si>
  <si>
    <t>Monmouth</t>
  </si>
  <si>
    <t>Montana Grizzlies</t>
  </si>
  <si>
    <t>Montana</t>
  </si>
  <si>
    <t>Montana St Bobcats</t>
  </si>
  <si>
    <t>Montana St.</t>
  </si>
  <si>
    <t>Morehead St Eagles</t>
  </si>
  <si>
    <t>Morehead St.</t>
  </si>
  <si>
    <t>Morgan St Bears</t>
  </si>
  <si>
    <t>Morgan St.</t>
  </si>
  <si>
    <t>Mount St Marys Mountaineers</t>
  </si>
  <si>
    <t>Mount St. Mary's</t>
  </si>
  <si>
    <t>Murray St Racers</t>
  </si>
  <si>
    <t>Murray St.</t>
  </si>
  <si>
    <t>NC State Wolfpack</t>
  </si>
  <si>
    <t>N.C. State</t>
  </si>
  <si>
    <t>Navy Midshipmen</t>
  </si>
  <si>
    <t>Navy</t>
  </si>
  <si>
    <t>Nebraska Cornhuskers</t>
  </si>
  <si>
    <t>Nebraska</t>
  </si>
  <si>
    <t>Nevada Wolf Pack</t>
  </si>
  <si>
    <t>Nevada</t>
  </si>
  <si>
    <t>New Hampshire Wildcats</t>
  </si>
  <si>
    <t>New Hampshire</t>
  </si>
  <si>
    <t>New Mexico Lobos</t>
  </si>
  <si>
    <t>New Mexico</t>
  </si>
  <si>
    <t>New Mexico St Aggies</t>
  </si>
  <si>
    <t>New Mexico St.</t>
  </si>
  <si>
    <t>New Orleans Privateers</t>
  </si>
  <si>
    <t>New Orleans</t>
  </si>
  <si>
    <t>Niagara Purple Eagles</t>
  </si>
  <si>
    <t>Niagara</t>
  </si>
  <si>
    <t>Nicholls St Colonels</t>
  </si>
  <si>
    <t>Nicholls St.</t>
  </si>
  <si>
    <t>Norfolk St Spartans</t>
  </si>
  <si>
    <t>Norfolk St.</t>
  </si>
  <si>
    <t>North Alabama Lions</t>
  </si>
  <si>
    <t>North Alabama</t>
  </si>
  <si>
    <t>North Carolina A&amp;T Aggies</t>
  </si>
  <si>
    <t>North Carolina A&amp;T</t>
  </si>
  <si>
    <t>North Carolina Central Eagles</t>
  </si>
  <si>
    <t>North Carolina Central</t>
  </si>
  <si>
    <t>North Carolina Tar Heels</t>
  </si>
  <si>
    <t>North Carolina</t>
  </si>
  <si>
    <t>North Dakota Fighting Hawks</t>
  </si>
  <si>
    <t>North Dakota</t>
  </si>
  <si>
    <t>North Dakota St Bison</t>
  </si>
  <si>
    <t>North Dakota St.</t>
  </si>
  <si>
    <t>North Florida Ospreys</t>
  </si>
  <si>
    <t>North Florida</t>
  </si>
  <si>
    <t>North Texas Mean Green</t>
  </si>
  <si>
    <t>North Texas</t>
  </si>
  <si>
    <t>Northeastern Huskies</t>
  </si>
  <si>
    <t>Northeastern</t>
  </si>
  <si>
    <t>Northern Arizona Lumberjacks</t>
  </si>
  <si>
    <t>Northern Arizona</t>
  </si>
  <si>
    <t>Northern Colorado Bears</t>
  </si>
  <si>
    <t>Northern Colorado</t>
  </si>
  <si>
    <t>Northern Illinois Huskies</t>
  </si>
  <si>
    <t>Northern Illinois</t>
  </si>
  <si>
    <t>Northern Iowa Panthers</t>
  </si>
  <si>
    <t>Northern Iowa</t>
  </si>
  <si>
    <t>Northern Kentucky Norse</t>
  </si>
  <si>
    <t>Northern Kentucky</t>
  </si>
  <si>
    <t>Northwestern St Demons</t>
  </si>
  <si>
    <t>Northwestern St.</t>
  </si>
  <si>
    <t>Northwestern Wildcats</t>
  </si>
  <si>
    <t>Northwestern</t>
  </si>
  <si>
    <t>Notre Dame Fighting Irish</t>
  </si>
  <si>
    <t>Notre Dame</t>
  </si>
  <si>
    <t>Oakland Golden Grizzlies</t>
  </si>
  <si>
    <t>Oakland</t>
  </si>
  <si>
    <t>Ohio Bobcats</t>
  </si>
  <si>
    <t>Ohio</t>
  </si>
  <si>
    <t>Ohio St Buckeyes</t>
  </si>
  <si>
    <t>Ohio St.</t>
  </si>
  <si>
    <t>Oklahoma Sooners</t>
  </si>
  <si>
    <t>Oklahoma</t>
  </si>
  <si>
    <t>Oklahoma St Cowboys</t>
  </si>
  <si>
    <t>Oklahoma St.</t>
  </si>
  <si>
    <t>Old Dominion Monarchs</t>
  </si>
  <si>
    <t>Old Dominion</t>
  </si>
  <si>
    <t>Ole Miss Rebels</t>
  </si>
  <si>
    <t>Mississippi</t>
  </si>
  <si>
    <t>Oral Roberts Golden Eagles</t>
  </si>
  <si>
    <t>Oral Roberts</t>
  </si>
  <si>
    <t>Oregon Ducks</t>
  </si>
  <si>
    <t>Oregon</t>
  </si>
  <si>
    <t>Oregon St Beavers</t>
  </si>
  <si>
    <t>Oregon St.</t>
  </si>
  <si>
    <t>Pacific Tigers</t>
  </si>
  <si>
    <t>Pacific</t>
  </si>
  <si>
    <t>Penn Quakers</t>
  </si>
  <si>
    <t>Penn</t>
  </si>
  <si>
    <t>Penn St Nittany Lions</t>
  </si>
  <si>
    <t>Penn St.</t>
  </si>
  <si>
    <t>Pepperdine Waves</t>
  </si>
  <si>
    <t>Pepperdine</t>
  </si>
  <si>
    <t>Pittsburgh Panthers</t>
  </si>
  <si>
    <t>Pittsburgh</t>
  </si>
  <si>
    <t>Portland Pilots</t>
  </si>
  <si>
    <t>Portland</t>
  </si>
  <si>
    <t>Portland St Vikings</t>
  </si>
  <si>
    <t>Portland St.</t>
  </si>
  <si>
    <t>Prairie View A&amp;M Panthers</t>
  </si>
  <si>
    <t>Prairie View A&amp;M</t>
  </si>
  <si>
    <t>Presbyterian Blue Hose</t>
  </si>
  <si>
    <t>Presbyterian</t>
  </si>
  <si>
    <t>Princeton Tigers</t>
  </si>
  <si>
    <t>Princeton</t>
  </si>
  <si>
    <t>Providence Friars</t>
  </si>
  <si>
    <t>Providence</t>
  </si>
  <si>
    <t>Purdue Boilermakers</t>
  </si>
  <si>
    <t>Purdue</t>
  </si>
  <si>
    <t>Purdue Fort Wayne Mastodons</t>
  </si>
  <si>
    <t>Purdue Fort Wayne</t>
  </si>
  <si>
    <t>Queens Royals</t>
  </si>
  <si>
    <t>Queens</t>
  </si>
  <si>
    <t>Quinnipiac Bobcats</t>
  </si>
  <si>
    <t>Quinnipiac</t>
  </si>
  <si>
    <t>Radford Highlanders</t>
  </si>
  <si>
    <t>Radford</t>
  </si>
  <si>
    <t>Rhode Island Rams</t>
  </si>
  <si>
    <t>Rhode Island</t>
  </si>
  <si>
    <t>Rice Owls</t>
  </si>
  <si>
    <t>Rice</t>
  </si>
  <si>
    <t>Richmond Spiders</t>
  </si>
  <si>
    <t>Richmond</t>
  </si>
  <si>
    <t>Rider Broncs</t>
  </si>
  <si>
    <t>Rider</t>
  </si>
  <si>
    <t>Robert Morris Colonials</t>
  </si>
  <si>
    <t>Robert Morris</t>
  </si>
  <si>
    <t>Rutgers Scarlet Knights</t>
  </si>
  <si>
    <t>Rutgers</t>
  </si>
  <si>
    <t>SIU Edwardsville Cougars</t>
  </si>
  <si>
    <t>SIUE</t>
  </si>
  <si>
    <t>SMU Mustangs</t>
  </si>
  <si>
    <t>SMU</t>
  </si>
  <si>
    <t>Sacramento St Hornets</t>
  </si>
  <si>
    <t>Sacramento St.</t>
  </si>
  <si>
    <t>Sacred Heart Pioneers</t>
  </si>
  <si>
    <t>Sacred Heart</t>
  </si>
  <si>
    <t>Saint Francis Red Flash</t>
  </si>
  <si>
    <t>Saint Francis</t>
  </si>
  <si>
    <t>Saint Josephs Hawks</t>
  </si>
  <si>
    <t>Saint Joseph's</t>
  </si>
  <si>
    <t>Saint Louis Billikens</t>
  </si>
  <si>
    <t>Saint Louis</t>
  </si>
  <si>
    <t>Saint Marys Gaels</t>
  </si>
  <si>
    <t>Saint Mary's</t>
  </si>
  <si>
    <t>Saint Peters Peacocks</t>
  </si>
  <si>
    <t>Saint Peter's</t>
  </si>
  <si>
    <t>Sam Houston St Bearkats</t>
  </si>
  <si>
    <t>Sam Houston St.</t>
  </si>
  <si>
    <t>Samford Bulldogs</t>
  </si>
  <si>
    <t>Samford</t>
  </si>
  <si>
    <t>San Diego St Aztecs</t>
  </si>
  <si>
    <t>San Diego St.</t>
  </si>
  <si>
    <t>San Diego Toreros</t>
  </si>
  <si>
    <t>San Diego</t>
  </si>
  <si>
    <t>San Francisco Dons</t>
  </si>
  <si>
    <t>San Francisco</t>
  </si>
  <si>
    <t>San Jose St Spartans</t>
  </si>
  <si>
    <t>San Jose St.</t>
  </si>
  <si>
    <t>Santa Clara Broncos</t>
  </si>
  <si>
    <t>Santa Clara</t>
  </si>
  <si>
    <t>Seattle Redhawks</t>
  </si>
  <si>
    <t>Seattle</t>
  </si>
  <si>
    <t>Seton Hall Pirates</t>
  </si>
  <si>
    <t>Seton Hall</t>
  </si>
  <si>
    <t>Siena Saints</t>
  </si>
  <si>
    <t>Siena</t>
  </si>
  <si>
    <t>South Alabama Jaguars</t>
  </si>
  <si>
    <t>South Alabama</t>
  </si>
  <si>
    <t>South Carolina Gamecocks</t>
  </si>
  <si>
    <t>South Carolina</t>
  </si>
  <si>
    <t>South Carolina St Bulldogs</t>
  </si>
  <si>
    <t>South Carolina St.</t>
  </si>
  <si>
    <t>South Dakota Coyotes</t>
  </si>
  <si>
    <t>South Dakota</t>
  </si>
  <si>
    <t>South Dakota St Jackrabbits</t>
  </si>
  <si>
    <t>South Dakota St.</t>
  </si>
  <si>
    <t>South Florida Bulls</t>
  </si>
  <si>
    <t>South Florida</t>
  </si>
  <si>
    <t>Southeast Missouri St Redhawks</t>
  </si>
  <si>
    <t>Southeast Missouri</t>
  </si>
  <si>
    <t>Southeastern Louisiana Lions</t>
  </si>
  <si>
    <t>Southeastern Louisiana</t>
  </si>
  <si>
    <t>Southern Illinois Salukis</t>
  </si>
  <si>
    <t>Southern Illinois</t>
  </si>
  <si>
    <t>Southern Indiana Screaming Eagles</t>
  </si>
  <si>
    <t>Southern Indiana</t>
  </si>
  <si>
    <t>Southern Jaguars</t>
  </si>
  <si>
    <t>Southern</t>
  </si>
  <si>
    <t>Southern Miss Golden Eagles</t>
  </si>
  <si>
    <t>Southern Miss</t>
  </si>
  <si>
    <t>Southern Utah Thunderbirds</t>
  </si>
  <si>
    <t>Southern Utah</t>
  </si>
  <si>
    <t>St Bonaventure Bonnies</t>
  </si>
  <si>
    <t>St. Bonaventure</t>
  </si>
  <si>
    <t>St Johns Red Storm</t>
  </si>
  <si>
    <t>St. John's</t>
  </si>
  <si>
    <t>St Thomas Tommies</t>
  </si>
  <si>
    <t>St. Thomas</t>
  </si>
  <si>
    <t>Stanford Cardinal</t>
  </si>
  <si>
    <t>Stanford</t>
  </si>
  <si>
    <t>Stephen F Austin Lumberjacks</t>
  </si>
  <si>
    <t>Stephen F. Austin</t>
  </si>
  <si>
    <t>Stetson Hatters</t>
  </si>
  <si>
    <t>Stetson</t>
  </si>
  <si>
    <t>Stonehill Skyhawks</t>
  </si>
  <si>
    <t>Stonehill</t>
  </si>
  <si>
    <t>Stony Brook Seawolves</t>
  </si>
  <si>
    <t>Stony Brook</t>
  </si>
  <si>
    <t>Syracuse Orange</t>
  </si>
  <si>
    <t>Syracuse</t>
  </si>
  <si>
    <t>TCU Horned Frogs</t>
  </si>
  <si>
    <t>TCU</t>
  </si>
  <si>
    <t>Tarleton St Texans</t>
  </si>
  <si>
    <t>Tarleton St.</t>
  </si>
  <si>
    <t>Temple Owls</t>
  </si>
  <si>
    <t>Temple</t>
  </si>
  <si>
    <t>Tennessee Martin Skyhawks</t>
  </si>
  <si>
    <t>Tennessee Martin</t>
  </si>
  <si>
    <t>Tennessee St Tigers</t>
  </si>
  <si>
    <t>Tennessee St.</t>
  </si>
  <si>
    <t>Tennessee Tech Golden Eagles</t>
  </si>
  <si>
    <t>Tennessee Tech</t>
  </si>
  <si>
    <t>Tennessee Volunteers</t>
  </si>
  <si>
    <t>Tennessee</t>
  </si>
  <si>
    <t>Texas A&amp;M Aggies</t>
  </si>
  <si>
    <t>Texas A&amp;M</t>
  </si>
  <si>
    <t>Texas A&amp;M Corpus Christi Islanders</t>
  </si>
  <si>
    <t>Texas A&amp;M Corpus Chris</t>
  </si>
  <si>
    <t>Texas Longhorns</t>
  </si>
  <si>
    <t>Texas</t>
  </si>
  <si>
    <t>Texas Southern Tigers</t>
  </si>
  <si>
    <t>Texas Southern</t>
  </si>
  <si>
    <t>Texas St Bobcats</t>
  </si>
  <si>
    <t>Texas St.</t>
  </si>
  <si>
    <t>Texas Tech Red Raiders</t>
  </si>
  <si>
    <t>Texas Tech</t>
  </si>
  <si>
    <t>The Citadel Bulldogs</t>
  </si>
  <si>
    <t>The Citadel</t>
  </si>
  <si>
    <t>Toledo Rockets</t>
  </si>
  <si>
    <t>Toledo</t>
  </si>
  <si>
    <t>Towson Tigers</t>
  </si>
  <si>
    <t>Towson</t>
  </si>
  <si>
    <t>Troy Trojans</t>
  </si>
  <si>
    <t>Troy</t>
  </si>
  <si>
    <t>Tulane Green Wave</t>
  </si>
  <si>
    <t>Tulane</t>
  </si>
  <si>
    <t>Tulsa Golden Hurricane</t>
  </si>
  <si>
    <t>Tulsa</t>
  </si>
  <si>
    <t>UAB Blazers</t>
  </si>
  <si>
    <t>UAB</t>
  </si>
  <si>
    <t>UC Davis Aggies</t>
  </si>
  <si>
    <t>UC Davis</t>
  </si>
  <si>
    <t>UC Irvine Anteaters</t>
  </si>
  <si>
    <t>UC Irvine</t>
  </si>
  <si>
    <t>UC Riverside Highlanders</t>
  </si>
  <si>
    <t>UC Riverside</t>
  </si>
  <si>
    <t>UC San Diego Tritons</t>
  </si>
  <si>
    <t>UC San Diego</t>
  </si>
  <si>
    <t>UC Santa Barbara Gauchos</t>
  </si>
  <si>
    <t>UC Santa Barbara</t>
  </si>
  <si>
    <t>UCF Knights</t>
  </si>
  <si>
    <t>UCF</t>
  </si>
  <si>
    <t>UCLA Bruins</t>
  </si>
  <si>
    <t>UCLA</t>
  </si>
  <si>
    <t>UConn Huskies</t>
  </si>
  <si>
    <t>UIC Flames</t>
  </si>
  <si>
    <t>UMBC Retrievers</t>
  </si>
  <si>
    <t>UMBC</t>
  </si>
  <si>
    <t>UMass Lowell River Hawks</t>
  </si>
  <si>
    <t>UMass Lowell</t>
  </si>
  <si>
    <t>UNC Asheville Bulldogs</t>
  </si>
  <si>
    <t>UNC Asheville</t>
  </si>
  <si>
    <t>UNC Greensboro Spartans</t>
  </si>
  <si>
    <t>UNC Greensboro</t>
  </si>
  <si>
    <t>UNC Wilmington Seahawks</t>
  </si>
  <si>
    <t>UNC Wilmington</t>
  </si>
  <si>
    <t>UNLV Rebels</t>
  </si>
  <si>
    <t>UNLV</t>
  </si>
  <si>
    <t>USC Trojans</t>
  </si>
  <si>
    <t>USC</t>
  </si>
  <si>
    <t>USC Upstate Spartans</t>
  </si>
  <si>
    <t>USC Upstate</t>
  </si>
  <si>
    <t>UT Rio Grande Valley Vaqueros</t>
  </si>
  <si>
    <t>UT Rio Grande Valley</t>
  </si>
  <si>
    <t>UT-Arlington Mavericks</t>
  </si>
  <si>
    <t>UT Arlington</t>
  </si>
  <si>
    <t>UTEP Miners</t>
  </si>
  <si>
    <t>UTEP</t>
  </si>
  <si>
    <t>UTSA Roadrunners</t>
  </si>
  <si>
    <t>UTSA</t>
  </si>
  <si>
    <t>Utah State Aggies</t>
  </si>
  <si>
    <t>Utah St.</t>
  </si>
  <si>
    <t>Utah Tech Trailblazers</t>
  </si>
  <si>
    <t>Utah Tech</t>
  </si>
  <si>
    <t>Utah Utes</t>
  </si>
  <si>
    <t>Utah</t>
  </si>
  <si>
    <t>Utah Valley Wolverines</t>
  </si>
  <si>
    <t>Utah Valley</t>
  </si>
  <si>
    <t>VCU Rams</t>
  </si>
  <si>
    <t>VCU</t>
  </si>
  <si>
    <t>VMI Keydets</t>
  </si>
  <si>
    <t>VMI</t>
  </si>
  <si>
    <t>Valparaiso Beacons</t>
  </si>
  <si>
    <t>Valparaiso</t>
  </si>
  <si>
    <t>Vanderbilt Commodores</t>
  </si>
  <si>
    <t>Vanderbilt</t>
  </si>
  <si>
    <t>Vermont Catamounts</t>
  </si>
  <si>
    <t>Vermont</t>
  </si>
  <si>
    <t>Villanova Wildcats</t>
  </si>
  <si>
    <t>Villanova</t>
  </si>
  <si>
    <t>Virginia Cavaliers</t>
  </si>
  <si>
    <t>Virginia</t>
  </si>
  <si>
    <t>Virginia Tech Hokies</t>
  </si>
  <si>
    <t>Virginia Tech</t>
  </si>
  <si>
    <t>Wagner Seahawks</t>
  </si>
  <si>
    <t>Wagner</t>
  </si>
  <si>
    <t>Wake Forest Demon Deacons</t>
  </si>
  <si>
    <t>Wake Forest</t>
  </si>
  <si>
    <t>Washington Huskies</t>
  </si>
  <si>
    <t>Washington</t>
  </si>
  <si>
    <t>Washington St Cougars</t>
  </si>
  <si>
    <t>Washington St.</t>
  </si>
  <si>
    <t>Weber State Wildcats</t>
  </si>
  <si>
    <t>Weber St.</t>
  </si>
  <si>
    <t>West Georgia Wolves</t>
  </si>
  <si>
    <t>West Georgia</t>
  </si>
  <si>
    <t>West Virginia Mountaineers</t>
  </si>
  <si>
    <t>West Virginia</t>
  </si>
  <si>
    <t>Western Carolina Catamounts</t>
  </si>
  <si>
    <t>Western Carolina</t>
  </si>
  <si>
    <t>Western Illinois Leathernecks</t>
  </si>
  <si>
    <t>Western Illinois</t>
  </si>
  <si>
    <t>Western Kentucky Hilltoppers</t>
  </si>
  <si>
    <t>Western Kentucky</t>
  </si>
  <si>
    <t>Western Michigan Broncos</t>
  </si>
  <si>
    <t>Western Michigan</t>
  </si>
  <si>
    <t>Wichita St Shockers</t>
  </si>
  <si>
    <t>Wichita St.</t>
  </si>
  <si>
    <t>William &amp; Mary Tribe</t>
  </si>
  <si>
    <t>William &amp; Mary</t>
  </si>
  <si>
    <t>Winthrop Eagles</t>
  </si>
  <si>
    <t>Winthrop</t>
  </si>
  <si>
    <t>Wisconsin Badgers</t>
  </si>
  <si>
    <t>Wisconsin</t>
  </si>
  <si>
    <t>Wofford Terriers</t>
  </si>
  <si>
    <t>Wofford</t>
  </si>
  <si>
    <t>Wright St Raiders</t>
  </si>
  <si>
    <t>Wright St.</t>
  </si>
  <si>
    <t>Wyoming Cowboys</t>
  </si>
  <si>
    <t>Wyoming</t>
  </si>
  <si>
    <t>Xavier Musketeers</t>
  </si>
  <si>
    <t>Xavier</t>
  </si>
  <si>
    <t>Yale Bulldogs</t>
  </si>
  <si>
    <t>Yale</t>
  </si>
  <si>
    <t>Youngstown St Penguins</t>
  </si>
  <si>
    <t>Youngstown St.</t>
  </si>
  <si>
    <t>READ ME FIRST</t>
  </si>
  <si>
    <t>This is the control/source workbook.</t>
  </si>
  <si>
    <t>Refresh Odds_from_Odds_Api_Total and Odds_from_Odds_Api_Spread here, then run the daily build.</t>
  </si>
  <si>
    <t>The daily analysis workbook is the .xlsx output.</t>
  </si>
  <si>
    <t>4. Open the fresh daily workbook</t>
  </si>
  <si>
    <t>Charts are now cover/over probability curves, not raw PMF curves.</t>
  </si>
  <si>
    <t>Market Maker Predictive Pricing Dashboard</t>
  </si>
  <si>
    <t>Selected Game</t>
  </si>
  <si>
    <t>Selector Row</t>
  </si>
  <si>
    <t>Chart guide</t>
  </si>
  <si>
    <t>Distribution = model probability mass</t>
  </si>
  <si>
    <t>Home Line</t>
  </si>
  <si>
    <t>Market Total</t>
  </si>
  <si>
    <t>Home Win %</t>
  </si>
  <si>
    <t>Fair ML US</t>
  </si>
  <si>
    <t>Market Marker = current market number</t>
  </si>
  <si>
    <t>Fair Home Line</t>
  </si>
  <si>
    <t>Model Total</t>
  </si>
  <si>
    <t>Home Cover %</t>
  </si>
  <si>
    <t>Fair Cover US</t>
  </si>
  <si>
    <t>Model Marker = model-implied number</t>
  </si>
  <si>
    <t>Home Edge</t>
  </si>
  <si>
    <t>Total Edge</t>
  </si>
  <si>
    <t>Over %</t>
  </si>
  <si>
    <t>Fair Over US</t>
  </si>
  <si>
    <t>Slate Snapshot</t>
  </si>
  <si>
    <t>Row</t>
  </si>
  <si>
    <t>Away</t>
  </si>
  <si>
    <t>Home</t>
  </si>
  <si>
    <t>Market Line</t>
  </si>
  <si>
    <t>Model Line</t>
  </si>
  <si>
    <t>Edge</t>
  </si>
  <si>
    <t>Cover%</t>
  </si>
  <si>
    <t>Over%</t>
  </si>
  <si>
    <t>Game Selector</t>
  </si>
  <si>
    <t>Selected row #</t>
  </si>
  <si>
    <t>Cutoff</t>
  </si>
  <si>
    <t>Home Team</t>
  </si>
  <si>
    <t>Away Team</t>
  </si>
  <si>
    <t>Site</t>
  </si>
  <si>
    <t>Market Spread</t>
  </si>
  <si>
    <t>Home RotΔ</t>
  </si>
  <si>
    <t>Away RotΔ</t>
  </si>
  <si>
    <t>Valid rows</t>
  </si>
  <si>
    <t>1 to 21</t>
  </si>
  <si>
    <t>Usage</t>
  </si>
  <si>
    <t>Change B2 to switch the selected game.</t>
  </si>
  <si>
    <t>All dashboard and pricing tables update off that row.</t>
  </si>
  <si>
    <t>Distribution, Pricing, and Fair Odds</t>
  </si>
  <si>
    <t>Fair ML Dec</t>
  </si>
  <si>
    <t>Interpretation</t>
  </si>
  <si>
    <t>What these charts mean</t>
  </si>
  <si>
    <t>Tempo uses a harmonic blend of team blended tempos, shrunk 15% to league average.</t>
  </si>
  <si>
    <t>Top chart: Home Cover % by spread line</t>
  </si>
  <si>
    <t>Fair Cover Dec</t>
  </si>
  <si>
    <t>Expected ORtg uses 0.55*team offense diff + 0.45*opponent defense diff +/- home court.</t>
  </si>
  <si>
    <t>Bottom chart: Over % by total line</t>
  </si>
  <si>
    <t>Spread Edge</t>
  </si>
  <si>
    <t>Fair Home Line = - Model Home Margin.</t>
  </si>
  <si>
    <t>These are actionable market-maker curves.</t>
  </si>
  <si>
    <t>Fair Over Dec</t>
  </si>
  <si>
    <t>Alt Spread / Alt Total tables are the actionable pricing ladders.</t>
  </si>
  <si>
    <t>Confidence</t>
  </si>
  <si>
    <t>Home Margin</t>
  </si>
  <si>
    <t>Model PMF</t>
  </si>
  <si>
    <t>Market Curve</t>
  </si>
  <si>
    <t>Model Curve</t>
  </si>
  <si>
    <t>Game Total</t>
  </si>
  <si>
    <t>Fair Dec</t>
  </si>
  <si>
    <t>Fair US</t>
  </si>
  <si>
    <t>Total Line</t>
  </si>
  <si>
    <t>Total chart markers</t>
  </si>
  <si>
    <t>Model Input Engine</t>
  </si>
  <si>
    <t>League Avg OE</t>
  </si>
  <si>
    <t>League Avg DE</t>
  </si>
  <si>
    <t>League Avg Tempo</t>
  </si>
  <si>
    <t>Home-court adj (pts/100)</t>
  </si>
  <si>
    <t>Expected Tempo</t>
  </si>
  <si>
    <t>RotΔ weight</t>
  </si>
  <si>
    <t>Expected Home ORtg</t>
  </si>
  <si>
    <t>Margin SD base</t>
  </si>
  <si>
    <t>Expected Away ORtg</t>
  </si>
  <si>
    <t>Margin SD rot add</t>
  </si>
  <si>
    <t>Total SD base</t>
  </si>
  <si>
    <t>Total SD pace add</t>
  </si>
  <si>
    <t>Expected Home Pts</t>
  </si>
  <si>
    <t>Expected Away Pts</t>
  </si>
  <si>
    <t>Tempo model = 0.85 * harmonic mean of team blended tempos + 0.15 * league avg + optional tempo overrides.</t>
  </si>
  <si>
    <t>Fair Home Margin</t>
  </si>
  <si>
    <t>ORtg model = LeagueAvgOE + 0.55*OffDiff + 0.45*OppDefDiff +/- home-court + rotation/player adjustments.</t>
  </si>
  <si>
    <t>Fair Total</t>
  </si>
  <si>
    <t>Fair Home Line = - Model Home Margin (same sign convention as Market Home Line).</t>
  </si>
  <si>
    <t>Margin SD</t>
  </si>
  <si>
    <t>Total SD</t>
  </si>
  <si>
    <t>Market Home Line</t>
  </si>
  <si>
    <t>Home Line Edge</t>
  </si>
  <si>
    <t>Fair ML Decimal</t>
  </si>
  <si>
    <t>Fair ML American</t>
  </si>
  <si>
    <t>Fair Cover Decimal</t>
  </si>
  <si>
    <t>Fair Cover American</t>
  </si>
  <si>
    <t>Fair Over Decimal</t>
  </si>
  <si>
    <t>Fair Over American</t>
  </si>
  <si>
    <t>Cover Dec</t>
  </si>
  <si>
    <t>Cover US</t>
  </si>
  <si>
    <t>Over Dec</t>
  </si>
  <si>
    <t>Over US</t>
  </si>
  <si>
    <t>hOE</t>
  </si>
  <si>
    <t>hDE</t>
  </si>
  <si>
    <t>hT</t>
  </si>
  <si>
    <t>aOE</t>
  </si>
  <si>
    <t>aDE</t>
  </si>
  <si>
    <t>aT</t>
  </si>
  <si>
    <t>Exp Tempo</t>
  </si>
  <si>
    <t>Exp Home ORtg</t>
  </si>
  <si>
    <t>Exp Away ORtg</t>
  </si>
  <si>
    <t>event_name</t>
  </si>
  <si>
    <t>commence</t>
  </si>
  <si>
    <t>status</t>
  </si>
  <si>
    <t>bookmaker</t>
  </si>
  <si>
    <t>last_update</t>
  </si>
  <si>
    <t>point_1</t>
  </si>
  <si>
    <t>point_2</t>
  </si>
  <si>
    <t>odd_1</t>
  </si>
  <si>
    <t>odd_2</t>
  </si>
  <si>
    <t>DraftKings</t>
  </si>
  <si>
    <t>BetMGM</t>
  </si>
  <si>
    <t>FanDuel</t>
  </si>
  <si>
    <t>Bovada</t>
  </si>
  <si>
    <t>BetRivers</t>
  </si>
  <si>
    <t>Pending</t>
  </si>
  <si>
    <t>BetOnline.ag</t>
  </si>
  <si>
    <t>LowVig.ag</t>
  </si>
  <si>
    <t>BetUS</t>
  </si>
  <si>
    <t>Home spread line (input)</t>
  </si>
  <si>
    <t>Game total line (input)</t>
  </si>
  <si>
    <t>Home rotation Δ</t>
  </si>
  <si>
    <t>Away rotation Δ</t>
  </si>
  <si>
    <t>Home player ORtg adj (opt)</t>
  </si>
  <si>
    <t>Away player ORtg adj (opt)</t>
  </si>
  <si>
    <t>Home tempo adj (opt)</t>
  </si>
  <si>
    <t>Away tempo adj (opt)</t>
  </si>
  <si>
    <t>2026-03-15</t>
  </si>
  <si>
    <t>H</t>
  </si>
  <si>
    <t>TEAM</t>
  </si>
  <si>
    <t>TEAM_KEY</t>
  </si>
  <si>
    <t>KP_CONF</t>
  </si>
  <si>
    <t>KP_TEAMID</t>
  </si>
  <si>
    <t>BLEND_ADJ_OE</t>
  </si>
  <si>
    <t>BLEND_ADJ_DE</t>
  </si>
  <si>
    <t>BLEND_TEMPO</t>
  </si>
  <si>
    <t>KP_SOS</t>
  </si>
  <si>
    <t>BLEND_ADJ_EM</t>
  </si>
  <si>
    <t>duke</t>
  </si>
  <si>
    <t>ACC</t>
  </si>
  <si>
    <t>michigan</t>
  </si>
  <si>
    <t>B10</t>
  </si>
  <si>
    <t>arizona</t>
  </si>
  <si>
    <t>B12</t>
  </si>
  <si>
    <t>florida</t>
  </si>
  <si>
    <t>SEC</t>
  </si>
  <si>
    <t>illinois</t>
  </si>
  <si>
    <t>houston</t>
  </si>
  <si>
    <t>iowa st</t>
  </si>
  <si>
    <t>purdue</t>
  </si>
  <si>
    <t>michigan st</t>
  </si>
  <si>
    <t>connecticut</t>
  </si>
  <si>
    <t>BE</t>
  </si>
  <si>
    <t>gonzaga</t>
  </si>
  <si>
    <t>WCC</t>
  </si>
  <si>
    <t>nebraska</t>
  </si>
  <si>
    <t>vanderbilt</t>
  </si>
  <si>
    <t>tennessee</t>
  </si>
  <si>
    <t>alabama</t>
  </si>
  <si>
    <t>arkansas</t>
  </si>
  <si>
    <t>louisville</t>
  </si>
  <si>
    <t>kansas</t>
  </si>
  <si>
    <t>virginia</t>
  </si>
  <si>
    <t>texas tech</t>
  </si>
  <si>
    <t>saint johns</t>
  </si>
  <si>
    <t>byu</t>
  </si>
  <si>
    <t>saint marys</t>
  </si>
  <si>
    <t>wisconsin</t>
  </si>
  <si>
    <t>iowa</t>
  </si>
  <si>
    <t>ohio st</t>
  </si>
  <si>
    <t>miami fl</t>
  </si>
  <si>
    <t>kentucky</t>
  </si>
  <si>
    <t>ucla</t>
  </si>
  <si>
    <t>north carolina</t>
  </si>
  <si>
    <t>georgia</t>
  </si>
  <si>
    <t>utah st</t>
  </si>
  <si>
    <t>MWC</t>
  </si>
  <si>
    <t>villanova</t>
  </si>
  <si>
    <t>nc state</t>
  </si>
  <si>
    <t>santa clara</t>
  </si>
  <si>
    <t>clemson</t>
  </si>
  <si>
    <t>texas</t>
  </si>
  <si>
    <t>auburn</t>
  </si>
  <si>
    <t>saint louis</t>
  </si>
  <si>
    <t>A10</t>
  </si>
  <si>
    <t>texas aandm</t>
  </si>
  <si>
    <t>oklahoma</t>
  </si>
  <si>
    <t>smu</t>
  </si>
  <si>
    <t>tcu</t>
  </si>
  <si>
    <t>cincinnati</t>
  </si>
  <si>
    <t>indiana</t>
  </si>
  <si>
    <t>san diego st</t>
  </si>
  <si>
    <t>vcu</t>
  </si>
  <si>
    <t>baylor</t>
  </si>
  <si>
    <t>new mexico</t>
  </si>
  <si>
    <t>seton hall</t>
  </si>
  <si>
    <t>missouri</t>
  </si>
  <si>
    <t>south florida</t>
  </si>
  <si>
    <t>Amer</t>
  </si>
  <si>
    <t>washington</t>
  </si>
  <si>
    <t>ucf</t>
  </si>
  <si>
    <t>tulsa</t>
  </si>
  <si>
    <t>virginia tech</t>
  </si>
  <si>
    <t>florida st</t>
  </si>
  <si>
    <t>stanford</t>
  </si>
  <si>
    <t>northwestern</t>
  </si>
  <si>
    <t>wesaint virginia</t>
  </si>
  <si>
    <t>grand canyon</t>
  </si>
  <si>
    <t>boise st</t>
  </si>
  <si>
    <t>lsu</t>
  </si>
  <si>
    <t>akron</t>
  </si>
  <si>
    <t>MAC</t>
  </si>
  <si>
    <t>oklahoma st</t>
  </si>
  <si>
    <t>mcneese</t>
  </si>
  <si>
    <t>Slnd</t>
  </si>
  <si>
    <t>arizona st</t>
  </si>
  <si>
    <t>belmont</t>
  </si>
  <si>
    <t>MVC</t>
  </si>
  <si>
    <t>colorado</t>
  </si>
  <si>
    <t>northern iowa</t>
  </si>
  <si>
    <t>providence</t>
  </si>
  <si>
    <t>mississippi</t>
  </si>
  <si>
    <t>nevada</t>
  </si>
  <si>
    <t>california</t>
  </si>
  <si>
    <t>wake forest</t>
  </si>
  <si>
    <t>georgetown</t>
  </si>
  <si>
    <t>creighton</t>
  </si>
  <si>
    <t>minnesota</t>
  </si>
  <si>
    <t>usc</t>
  </si>
  <si>
    <t>dayton</t>
  </si>
  <si>
    <t>yale</t>
  </si>
  <si>
    <t>Ivy</t>
  </si>
  <si>
    <t>syracuse</t>
  </si>
  <si>
    <t>george washington</t>
  </si>
  <si>
    <t>marquette</t>
  </si>
  <si>
    <t>colorado st</t>
  </si>
  <si>
    <t>butler</t>
  </si>
  <si>
    <t>hofstra</t>
  </si>
  <si>
    <t>CAA</t>
  </si>
  <si>
    <t>wichita st</t>
  </si>
  <si>
    <t>utah valley</t>
  </si>
  <si>
    <t>WAC</t>
  </si>
  <si>
    <t>notre dame</t>
  </si>
  <si>
    <t>stephen f austin</t>
  </si>
  <si>
    <t>high point</t>
  </si>
  <si>
    <t>BSth</t>
  </si>
  <si>
    <t>miami oh</t>
  </si>
  <si>
    <t>pittsburgh</t>
  </si>
  <si>
    <t>south carolina</t>
  </si>
  <si>
    <t>xavier</t>
  </si>
  <si>
    <t>wyoming</t>
  </si>
  <si>
    <t>george mason</t>
  </si>
  <si>
    <t>kansas st</t>
  </si>
  <si>
    <t>oregon</t>
  </si>
  <si>
    <t>mississippi st</t>
  </si>
  <si>
    <t>depaul</t>
  </si>
  <si>
    <t>illinois st</t>
  </si>
  <si>
    <t>illinois chicago</t>
  </si>
  <si>
    <t>uc irvine</t>
  </si>
  <si>
    <t>BW</t>
  </si>
  <si>
    <t>sam houston st</t>
  </si>
  <si>
    <t>CUSA</t>
  </si>
  <si>
    <t>unlv</t>
  </si>
  <si>
    <t>saint thomas</t>
  </si>
  <si>
    <t>Sum</t>
  </si>
  <si>
    <t>unc wilmington</t>
  </si>
  <si>
    <t>davidson</t>
  </si>
  <si>
    <t>pacific</t>
  </si>
  <si>
    <t>cal baptist</t>
  </si>
  <si>
    <t>north dakota st</t>
  </si>
  <si>
    <t>hawaii</t>
  </si>
  <si>
    <t>ut rio grande valley</t>
  </si>
  <si>
    <t>southern illinois</t>
  </si>
  <si>
    <t>uc san diego</t>
  </si>
  <si>
    <t>seattle</t>
  </si>
  <si>
    <t>san francisco</t>
  </si>
  <si>
    <t>maryland</t>
  </si>
  <si>
    <t>murray st</t>
  </si>
  <si>
    <t>saint josephs</t>
  </si>
  <si>
    <t>bradley</t>
  </si>
  <si>
    <t>rutgers</t>
  </si>
  <si>
    <t>liberty</t>
  </si>
  <si>
    <t>uab</t>
  </si>
  <si>
    <t>utah</t>
  </si>
  <si>
    <t>duquesne</t>
  </si>
  <si>
    <t>florida atlantic</t>
  </si>
  <si>
    <t>uc santa barbara</t>
  </si>
  <si>
    <t>fresno st</t>
  </si>
  <si>
    <t>montana st</t>
  </si>
  <si>
    <t>BSky</t>
  </si>
  <si>
    <t>toledo</t>
  </si>
  <si>
    <t>rhode island</t>
  </si>
  <si>
    <t>washington st</t>
  </si>
  <si>
    <t>memphis</t>
  </si>
  <si>
    <t>north texas</t>
  </si>
  <si>
    <t>penn st</t>
  </si>
  <si>
    <t>saint bonaventure</t>
  </si>
  <si>
    <t>wright st</t>
  </si>
  <si>
    <t>Horz</t>
  </si>
  <si>
    <t>northern colorado</t>
  </si>
  <si>
    <t>navy</t>
  </si>
  <si>
    <t>PL</t>
  </si>
  <si>
    <t>troy</t>
  </si>
  <si>
    <t>SB</t>
  </si>
  <si>
    <t>robert morris</t>
  </si>
  <si>
    <t>idaho</t>
  </si>
  <si>
    <t>portland st</t>
  </si>
  <si>
    <t>bowling green</t>
  </si>
  <si>
    <t>william and mary</t>
  </si>
  <si>
    <t>kent st</t>
  </si>
  <si>
    <t>arkansas st</t>
  </si>
  <si>
    <t>harvard</t>
  </si>
  <si>
    <t>central arkansas</t>
  </si>
  <si>
    <t>ASun</t>
  </si>
  <si>
    <t>winthrop</t>
  </si>
  <si>
    <t>boston college</t>
  </si>
  <si>
    <t>ut arlington</t>
  </si>
  <si>
    <t>towson</t>
  </si>
  <si>
    <t>valparaiso</t>
  </si>
  <si>
    <t>cornell</t>
  </si>
  <si>
    <t>uc davis</t>
  </si>
  <si>
    <t>cal saint fullerton</t>
  </si>
  <si>
    <t>richmond</t>
  </si>
  <si>
    <t>loyola marymount</t>
  </si>
  <si>
    <t>georgia tech</t>
  </si>
  <si>
    <t>penn</t>
  </si>
  <si>
    <t>temple</t>
  </si>
  <si>
    <t>fordham</t>
  </si>
  <si>
    <t>easaint tennessee st</t>
  </si>
  <si>
    <t>SC</t>
  </si>
  <si>
    <t>oakland</t>
  </si>
  <si>
    <t>csun</t>
  </si>
  <si>
    <t>eastern washington</t>
  </si>
  <si>
    <t>western kentucky</t>
  </si>
  <si>
    <t>charleston</t>
  </si>
  <si>
    <t>texas aandm corpus chris</t>
  </si>
  <si>
    <t>austin peay</t>
  </si>
  <si>
    <t>kennesaw st</t>
  </si>
  <si>
    <t>northern kentucky</t>
  </si>
  <si>
    <t>oregon st</t>
  </si>
  <si>
    <t>middle tennessee</t>
  </si>
  <si>
    <t>merrimack</t>
  </si>
  <si>
    <t>MAAC</t>
  </si>
  <si>
    <t>monmouth</t>
  </si>
  <si>
    <t>utah tech</t>
  </si>
  <si>
    <t>queens</t>
  </si>
  <si>
    <t>campbell</t>
  </si>
  <si>
    <t>charlotte</t>
  </si>
  <si>
    <t>new mexico st</t>
  </si>
  <si>
    <t>montana</t>
  </si>
  <si>
    <t>tennessee st</t>
  </si>
  <si>
    <t>OVC</t>
  </si>
  <si>
    <t>mercer</t>
  </si>
  <si>
    <t>furman</t>
  </si>
  <si>
    <t>columbia</t>
  </si>
  <si>
    <t>siena</t>
  </si>
  <si>
    <t>fiu</t>
  </si>
  <si>
    <t>new orleans</t>
  </si>
  <si>
    <t>umbc</t>
  </si>
  <si>
    <t>AE</t>
  </si>
  <si>
    <t>massachusetts</t>
  </si>
  <si>
    <t>appalachian st</t>
  </si>
  <si>
    <t>louisiana tech</t>
  </si>
  <si>
    <t>weber st</t>
  </si>
  <si>
    <t>drake</t>
  </si>
  <si>
    <t>buffalo</t>
  </si>
  <si>
    <t>lipscomb</t>
  </si>
  <si>
    <t>portland</t>
  </si>
  <si>
    <t>indiana st</t>
  </si>
  <si>
    <t>missouri st</t>
  </si>
  <si>
    <t>howard</t>
  </si>
  <si>
    <t>MEAC</t>
  </si>
  <si>
    <t>marist</t>
  </si>
  <si>
    <t>south alabama</t>
  </si>
  <si>
    <t>marshall</t>
  </si>
  <si>
    <t>jacksonville st</t>
  </si>
  <si>
    <t>green bay</t>
  </si>
  <si>
    <t>cal poly</t>
  </si>
  <si>
    <t>tulane</t>
  </si>
  <si>
    <t>samford</t>
  </si>
  <si>
    <t>liu</t>
  </si>
  <si>
    <t>NEC</t>
  </si>
  <si>
    <t>james madison</t>
  </si>
  <si>
    <t>youngstown st</t>
  </si>
  <si>
    <t>detroit mercy</t>
  </si>
  <si>
    <t>southern miss</t>
  </si>
  <si>
    <t>quinnipiac</t>
  </si>
  <si>
    <t>south dakota st</t>
  </si>
  <si>
    <t>tarleton st</t>
  </si>
  <si>
    <t>drexel</t>
  </si>
  <si>
    <t>tennessee martin</t>
  </si>
  <si>
    <t>san jose st</t>
  </si>
  <si>
    <t>san diego</t>
  </si>
  <si>
    <t>rice</t>
  </si>
  <si>
    <t>stony brook</t>
  </si>
  <si>
    <t>western carolina</t>
  </si>
  <si>
    <t>ohio</t>
  </si>
  <si>
    <t>elon</t>
  </si>
  <si>
    <t>long beach st</t>
  </si>
  <si>
    <t>southeasaint missouri</t>
  </si>
  <si>
    <t>vermont</t>
  </si>
  <si>
    <t>denver</t>
  </si>
  <si>
    <t>la salle</t>
  </si>
  <si>
    <t>georgia southern</t>
  </si>
  <si>
    <t>Nicholls</t>
  </si>
  <si>
    <t>nicholls</t>
  </si>
  <si>
    <t>lamar</t>
  </si>
  <si>
    <t>american</t>
  </si>
  <si>
    <t>eastern michigan</t>
  </si>
  <si>
    <t>charleston southern</t>
  </si>
  <si>
    <t>abilene christian</t>
  </si>
  <si>
    <t>bethune cookman</t>
  </si>
  <si>
    <t>SWAC</t>
  </si>
  <si>
    <t>florida gulf coast</t>
  </si>
  <si>
    <t>texas st</t>
  </si>
  <si>
    <t>unc asheville</t>
  </si>
  <si>
    <t>coastal carolina</t>
  </si>
  <si>
    <t>colgate</t>
  </si>
  <si>
    <t>idaho st</t>
  </si>
  <si>
    <t>old dominion</t>
  </si>
  <si>
    <t>princeton</t>
  </si>
  <si>
    <t>southern utah</t>
  </si>
  <si>
    <t>wofford</t>
  </si>
  <si>
    <t>easaint carolina</t>
  </si>
  <si>
    <t>saint peters</t>
  </si>
  <si>
    <t>siue</t>
  </si>
  <si>
    <t>radford</t>
  </si>
  <si>
    <t>uc riverside</t>
  </si>
  <si>
    <t>iona</t>
  </si>
  <si>
    <t>purdue fort wayne</t>
  </si>
  <si>
    <t>Nebraska Omaha</t>
  </si>
  <si>
    <t>nebraska omaha</t>
  </si>
  <si>
    <t>boston university</t>
  </si>
  <si>
    <t>pepperdine</t>
  </si>
  <si>
    <t>fairfield</t>
  </si>
  <si>
    <t>sacramento st</t>
  </si>
  <si>
    <t>lindenwood</t>
  </si>
  <si>
    <t>incarnate word</t>
  </si>
  <si>
    <t>milwaukee</t>
  </si>
  <si>
    <t>central michigan</t>
  </si>
  <si>
    <t>presbyterian</t>
  </si>
  <si>
    <t>longwood</t>
  </si>
  <si>
    <t>hampton</t>
  </si>
  <si>
    <t>western michigan</t>
  </si>
  <si>
    <t>dartmouth</t>
  </si>
  <si>
    <t>southern</t>
  </si>
  <si>
    <t>north dakota</t>
  </si>
  <si>
    <t>utep</t>
  </si>
  <si>
    <t>mount saint marys</t>
  </si>
  <si>
    <t>bellarmine</t>
  </si>
  <si>
    <t>loyola chicago</t>
  </si>
  <si>
    <t>northwestern st</t>
  </si>
  <si>
    <t>south dakota</t>
  </si>
  <si>
    <t>morehead st</t>
  </si>
  <si>
    <t>lehigh</t>
  </si>
  <si>
    <t>southeastern louisiana</t>
  </si>
  <si>
    <t>northeastern</t>
  </si>
  <si>
    <t>mercyhurst</t>
  </si>
  <si>
    <t>easaint texas aandm</t>
  </si>
  <si>
    <t>brown</t>
  </si>
  <si>
    <t>north carolina aandt</t>
  </si>
  <si>
    <t>houston christian</t>
  </si>
  <si>
    <t>delaware</t>
  </si>
  <si>
    <t>ball st</t>
  </si>
  <si>
    <t>jacksonville</t>
  </si>
  <si>
    <t>sacred heart</t>
  </si>
  <si>
    <t>eastern kentucky</t>
  </si>
  <si>
    <t>alabama aandm</t>
  </si>
  <si>
    <t>le moyne</t>
  </si>
  <si>
    <t>grambling st</t>
  </si>
  <si>
    <t>unc greensboro</t>
  </si>
  <si>
    <t>chattanooga</t>
  </si>
  <si>
    <t>prairie view aandm</t>
  </si>
  <si>
    <t>usc upstate</t>
  </si>
  <si>
    <t>stetson</t>
  </si>
  <si>
    <t>wesaint georgia</t>
  </si>
  <si>
    <t>wagner</t>
  </si>
  <si>
    <t>central connecticut</t>
  </si>
  <si>
    <t>evansville</t>
  </si>
  <si>
    <t>oral roberts</t>
  </si>
  <si>
    <t>little rock</t>
  </si>
  <si>
    <t>georgia st</t>
  </si>
  <si>
    <t>florida aandm</t>
  </si>
  <si>
    <t>louisiana</t>
  </si>
  <si>
    <t>tennessee tech</t>
  </si>
  <si>
    <t>arkansas pine bluff</t>
  </si>
  <si>
    <t>texas southern</t>
  </si>
  <si>
    <t>iu indy</t>
  </si>
  <si>
    <t>alabama st</t>
  </si>
  <si>
    <t>northern arizona</t>
  </si>
  <si>
    <t>cleveland st</t>
  </si>
  <si>
    <t>umass lowell</t>
  </si>
  <si>
    <t>loyola md</t>
  </si>
  <si>
    <t>eastern illinois</t>
  </si>
  <si>
    <t>albany</t>
  </si>
  <si>
    <t>lafayette</t>
  </si>
  <si>
    <t>cal saint bakersfield</t>
  </si>
  <si>
    <t>norfolk st</t>
  </si>
  <si>
    <t>New Haven</t>
  </si>
  <si>
    <t>new haven</t>
  </si>
  <si>
    <t>holy cross</t>
  </si>
  <si>
    <t>manhattan</t>
  </si>
  <si>
    <t>bucknell</t>
  </si>
  <si>
    <t>NJIT</t>
  </si>
  <si>
    <t>njit</t>
  </si>
  <si>
    <t>northern illinois</t>
  </si>
  <si>
    <t>stonehill</t>
  </si>
  <si>
    <t>north florida</t>
  </si>
  <si>
    <t>fairleigh dickinson</t>
  </si>
  <si>
    <t>army</t>
  </si>
  <si>
    <t>niagara</t>
  </si>
  <si>
    <t>southern indiana</t>
  </si>
  <si>
    <t>utsa</t>
  </si>
  <si>
    <t>jackson st</t>
  </si>
  <si>
    <t>north alabama</t>
  </si>
  <si>
    <t>canisius</t>
  </si>
  <si>
    <t>chicago st</t>
  </si>
  <si>
    <t>air force</t>
  </si>
  <si>
    <t>the citadel</t>
  </si>
  <si>
    <t>maine</t>
  </si>
  <si>
    <t>alcorn st</t>
  </si>
  <si>
    <t>new hampshire</t>
  </si>
  <si>
    <t>maryland eastern shore</t>
  </si>
  <si>
    <t>louisiana monroe</t>
  </si>
  <si>
    <t>north carolina central</t>
  </si>
  <si>
    <t>morgan st</t>
  </si>
  <si>
    <t>saint francis</t>
  </si>
  <si>
    <t>bryant</t>
  </si>
  <si>
    <t>south carolina st</t>
  </si>
  <si>
    <t>rider</t>
  </si>
  <si>
    <t>kansas city</t>
  </si>
  <si>
    <t>binghamton</t>
  </si>
  <si>
    <t>vmi</t>
  </si>
  <si>
    <t>gardner webb</t>
  </si>
  <si>
    <t>delaware st</t>
  </si>
  <si>
    <t>coppin st</t>
  </si>
  <si>
    <t>western illinois</t>
  </si>
  <si>
    <t>mississippi valley st</t>
  </si>
  <si>
    <t>ROT_AVAIL</t>
  </si>
  <si>
    <t>ROT_DELTA_VALUE</t>
  </si>
  <si>
    <t>Adams State Grizzlies</t>
  </si>
  <si>
    <t>Adrian Bulldogs</t>
  </si>
  <si>
    <t>Alabama State Hornets</t>
  </si>
  <si>
    <t>Alaska Anchorage Seawolves</t>
  </si>
  <si>
    <t>Alcorn State Braves</t>
  </si>
  <si>
    <t>Alfred State Pioneers</t>
  </si>
  <si>
    <t>Alice Lloyd College Eagles</t>
  </si>
  <si>
    <t>Allegheny Gators</t>
  </si>
  <si>
    <t>American University Eagles</t>
  </si>
  <si>
    <t>Angelo State Rams</t>
  </si>
  <si>
    <t>App State Mountaineers</t>
  </si>
  <si>
    <t>Apprentice School Builders</t>
  </si>
  <si>
    <t>Aquinas Saints</t>
  </si>
  <si>
    <t>Arcadia ARCADIA</t>
  </si>
  <si>
    <t>Arizona State Sun Devils</t>
  </si>
  <si>
    <t>Arkansas Baptist Buffaloes</t>
  </si>
  <si>
    <t>Arkansas State Red Wolves</t>
  </si>
  <si>
    <t>Arkansas Tech Wonder Boys</t>
  </si>
  <si>
    <t>Arlington Baptist Patriots</t>
  </si>
  <si>
    <t>Army Black Knights</t>
  </si>
  <si>
    <t>Auburn-Montgomery Senators</t>
  </si>
  <si>
    <t>Averett Cougars</t>
  </si>
  <si>
    <t>Baptist (Fl) Eagles</t>
  </si>
  <si>
    <t>Belmont Abbey Crusaders</t>
  </si>
  <si>
    <t>Benedictine (AZ) Redhawks</t>
  </si>
  <si>
    <t>Benedictine University (IL) Eagles</t>
  </si>
  <si>
    <t>Berea Mountaineers</t>
  </si>
  <si>
    <t>Bethany (WV) Bison</t>
  </si>
  <si>
    <t>Bethel (TN) Wildcats</t>
  </si>
  <si>
    <t>Bethesda University Flames</t>
  </si>
  <si>
    <t>Blackburn Beavers</t>
  </si>
  <si>
    <t>Bloomfield Deacons</t>
  </si>
  <si>
    <t>Bloomsburg Huskies</t>
  </si>
  <si>
    <t>Blue Mountain Toppers</t>
  </si>
  <si>
    <t>Bluefield State Big Blues</t>
  </si>
  <si>
    <t>Bluefield University Ramblin' Rams</t>
  </si>
  <si>
    <t>Bob Jones Bruins</t>
  </si>
  <si>
    <t>Boise State Broncos</t>
  </si>
  <si>
    <t>Boston University Terriers</t>
  </si>
  <si>
    <t>Bowie State Bulldogs</t>
  </si>
  <si>
    <t>Boyce Bulldogs</t>
  </si>
  <si>
    <t>Brandeis Judges</t>
  </si>
  <si>
    <t>Brescia Bearcats</t>
  </si>
  <si>
    <t>Brevard Tornados</t>
  </si>
  <si>
    <t>Brewton-Parker Wildcats</t>
  </si>
  <si>
    <t>Bryan (TN) Lions</t>
  </si>
  <si>
    <t>Bryant &amp; Stratton (Ohio) Bobcats</t>
  </si>
  <si>
    <t>Bryant Str-Alb Bobcats</t>
  </si>
  <si>
    <t>Buena Vista Beavers</t>
  </si>
  <si>
    <t>Cal State Bakersfield Roadrunners</t>
  </si>
  <si>
    <t>Cal State Fullerton Titans</t>
  </si>
  <si>
    <t>Cal State Northridge Matadors</t>
  </si>
  <si>
    <t>Caldwell Cougars</t>
  </si>
  <si>
    <t>California Baptist Lancers</t>
  </si>
  <si>
    <t>Caltech CALTECH</t>
  </si>
  <si>
    <t>Calumet Crimson Wave</t>
  </si>
  <si>
    <t>Cameron Aggies</t>
  </si>
  <si>
    <t>Campbellsville Tigers</t>
  </si>
  <si>
    <t>Capital Crusaders</t>
  </si>
  <si>
    <t>Carolina University Bruins</t>
  </si>
  <si>
    <t>Catawba Chiefs</t>
  </si>
  <si>
    <t>Centenary (LA) Gentlemen</t>
  </si>
  <si>
    <t>Centenary (NJ) Cyclones</t>
  </si>
  <si>
    <t>Central Penn Knights</t>
  </si>
  <si>
    <t>Central State (OH) Marauders</t>
  </si>
  <si>
    <t>Chaminade Silverswords</t>
  </si>
  <si>
    <t>Champion Christian Tigers</t>
  </si>
  <si>
    <t>Cheyney (PA) Wolves</t>
  </si>
  <si>
    <t>Chicago State Cougars</t>
  </si>
  <si>
    <t>Christendom Crusaders</t>
  </si>
  <si>
    <t>Christian Brothers Buccaneers</t>
  </si>
  <si>
    <t>Cincinnati Clermont Cougars</t>
  </si>
  <si>
    <t>City College NY Beavers</t>
  </si>
  <si>
    <t>Cleary University Cougars</t>
  </si>
  <si>
    <t>Cleveland State Vikings</t>
  </si>
  <si>
    <t>Clinton College Golden Bears</t>
  </si>
  <si>
    <t>Coastal Georgia Mariner</t>
  </si>
  <si>
    <t>Coe Kohawks</t>
  </si>
  <si>
    <t>College Of Biblical Studies Ambassadors</t>
  </si>
  <si>
    <t>Colorado Christian Cougars</t>
  </si>
  <si>
    <t>Colorado College Tigers</t>
  </si>
  <si>
    <t>Colorado State Rams</t>
  </si>
  <si>
    <t>Colorado-Colorado Springs Mountain Lions</t>
  </si>
  <si>
    <t>Columbia College (SC) Fighting Koalas</t>
  </si>
  <si>
    <t>Columbia International Rams</t>
  </si>
  <si>
    <t>Concord Mountain Lions</t>
  </si>
  <si>
    <t>Concordia-Nebraska Clippers</t>
  </si>
  <si>
    <t>Converse University CONVERSE</t>
  </si>
  <si>
    <t>Coppin State Eagles</t>
  </si>
  <si>
    <t>Crown College Polars</t>
  </si>
  <si>
    <t>Culver-Stockton Wildcats</t>
  </si>
  <si>
    <t>Cumberland (KY) Patriots</t>
  </si>
  <si>
    <t>Cumberland (TN) Phoenix</t>
  </si>
  <si>
    <t>Curry College Colonels</t>
  </si>
  <si>
    <t>Dakota State Trojans</t>
  </si>
  <si>
    <t>Dakota Wesleyan Tigers</t>
  </si>
  <si>
    <t>Dallas Christian Crusaders</t>
  </si>
  <si>
    <t>Dallas Crusaders</t>
  </si>
  <si>
    <t>DeSales Bulldogs</t>
  </si>
  <si>
    <t>Defiance Yellow Jackets</t>
  </si>
  <si>
    <t>Delaware State Hornets</t>
  </si>
  <si>
    <t>Dickinson (PA) Red Devils</t>
  </si>
  <si>
    <t>District Of Columbia Firebirds</t>
  </si>
  <si>
    <t>Doane Tigers</t>
  </si>
  <si>
    <t>Dominican (CA) Penguins</t>
  </si>
  <si>
    <t>Dominican (IL) Dominican</t>
  </si>
  <si>
    <t>Earlham College Quakers</t>
  </si>
  <si>
    <t>East Tennessee State Buccaneers</t>
  </si>
  <si>
    <t>East-West University Phantoms</t>
  </si>
  <si>
    <t>Eastern Oregon Mountaineers</t>
  </si>
  <si>
    <t>Eastern University (PA) Eagles</t>
  </si>
  <si>
    <t>Ecclesia Royals</t>
  </si>
  <si>
    <t>Elizabeth City State Vikings</t>
  </si>
  <si>
    <t>Elmira Soaring Eagles</t>
  </si>
  <si>
    <t>Elms College Blazers</t>
  </si>
  <si>
    <t>Embry-Riddle (AZ) Eagles</t>
  </si>
  <si>
    <t>Emerson Lions</t>
  </si>
  <si>
    <t>Emmanuel (MA) Lions</t>
  </si>
  <si>
    <t>Erskine Flying Fleet</t>
  </si>
  <si>
    <t>Eureka Red Devils</t>
  </si>
  <si>
    <t>Evangel Crusaders</t>
  </si>
  <si>
    <t>Evergreen State Geoducks</t>
  </si>
  <si>
    <t>Farmingdale State Rams</t>
  </si>
  <si>
    <t>Fisher College Eagles</t>
  </si>
  <si>
    <t>Fisk Bulldogs</t>
  </si>
  <si>
    <t>Florida International Panthers</t>
  </si>
  <si>
    <t>Florida Memorial FLORIDA MEMORIAL</t>
  </si>
  <si>
    <t>Florida National Conquistadors</t>
  </si>
  <si>
    <t>Florida State Seminoles</t>
  </si>
  <si>
    <t>Fort Lauderdale Eagles</t>
  </si>
  <si>
    <t>Fort Valley State Wildcats</t>
  </si>
  <si>
    <t>Franciscan University Barons</t>
  </si>
  <si>
    <t>Franklin Grizzlies</t>
  </si>
  <si>
    <t>Franklin Pierce Ravens</t>
  </si>
  <si>
    <t>Fresno Pacific Sunbirds</t>
  </si>
  <si>
    <t>Fresno State Bulldogs</t>
  </si>
  <si>
    <t>Gallaudet Bison</t>
  </si>
  <si>
    <t>Gardner-Webb Runnin' Bulldogs</t>
  </si>
  <si>
    <t>Geneva Golden Tornadoes</t>
  </si>
  <si>
    <t>George Fox Bruins</t>
  </si>
  <si>
    <t>Georgia College Bobcats</t>
  </si>
  <si>
    <t>Georgia State Panthers</t>
  </si>
  <si>
    <t>Georgian Court Lions</t>
  </si>
  <si>
    <t>Grambling Tigers</t>
  </si>
  <si>
    <t>Grand Canyon Lopes</t>
  </si>
  <si>
    <t>Greensboro College Pride</t>
  </si>
  <si>
    <t>Gwynedd-Mercy Griffins</t>
  </si>
  <si>
    <t>Hannibal-Lagrange Trojans</t>
  </si>
  <si>
    <t>Hanover Panthers</t>
  </si>
  <si>
    <t>Harris-Stowe State Hornets</t>
  </si>
  <si>
    <t>Haskell Jayhawks</t>
  </si>
  <si>
    <t>Hawai'i Hilo Vulcans</t>
  </si>
  <si>
    <t>Hawai'i Pacific Sea Warriors</t>
  </si>
  <si>
    <t>Hawai'i Rainbow Warriors</t>
  </si>
  <si>
    <t>Holy Cross College (IN) Saints</t>
  </si>
  <si>
    <t>Holy Family University Tigers</t>
  </si>
  <si>
    <t>Houghton Highlanders</t>
  </si>
  <si>
    <t>Howard Payne Yellow Jackets</t>
  </si>
  <si>
    <t>Humboldt State Lumberjacks</t>
  </si>
  <si>
    <t>Huntingdon College (AL) Hawks</t>
  </si>
  <si>
    <t>Huston-Tillotson Rams</t>
  </si>
  <si>
    <t>IU Columbus Crimson Pride</t>
  </si>
  <si>
    <t>Idaho State Bengals</t>
  </si>
  <si>
    <t>Illinois State Redbirds</t>
  </si>
  <si>
    <t>Illinois Tech Scarlet Hawks</t>
  </si>
  <si>
    <t>Indiana State Sycamores</t>
  </si>
  <si>
    <t>Indiana University East IU EAST</t>
  </si>
  <si>
    <t>Iowa State Cyclones</t>
  </si>
  <si>
    <t>Jackson State Tigers</t>
  </si>
  <si>
    <t>Jacksonville State Gamecocks</t>
  </si>
  <si>
    <t>Jamestown Jimmies</t>
  </si>
  <si>
    <t>Jarvis Christian Bulldogs</t>
  </si>
  <si>
    <t>Jessup University Warriors</t>
  </si>
  <si>
    <t>John Brown Golden Eagles</t>
  </si>
  <si>
    <t>John Jay College Bloodhounds</t>
  </si>
  <si>
    <t>Johnson &amp; Wales (NC) JOHNSON &amp; WALES-CHARLOTTE</t>
  </si>
  <si>
    <t>Johnson &amp; Wales (RI) Griffins</t>
  </si>
  <si>
    <t>Johnson C Smith Golden Bulls</t>
  </si>
  <si>
    <t>Justice College Lions</t>
  </si>
  <si>
    <t>Kansas Christian Falcons</t>
  </si>
  <si>
    <t>Kansas State Wildcats</t>
  </si>
  <si>
    <t>Kean Cougars</t>
  </si>
  <si>
    <t>Kennesaw State Owls</t>
  </si>
  <si>
    <t>Kent State Golden Flashes</t>
  </si>
  <si>
    <t>Kentucky Christian Knights</t>
  </si>
  <si>
    <t>Kentucky State Thorobreds</t>
  </si>
  <si>
    <t>La Sierra Golden Eagles</t>
  </si>
  <si>
    <t>La Verne Leopards</t>
  </si>
  <si>
    <t>LaGrange Panthers</t>
  </si>
  <si>
    <t>Lancasater Bible College Chargers</t>
  </si>
  <si>
    <t>Lane College Dragons</t>
  </si>
  <si>
    <t>Lawrence University Vikings</t>
  </si>
  <si>
    <t>LeTourneau Yellow Jackets</t>
  </si>
  <si>
    <t>Lehman College Bridges</t>
  </si>
  <si>
    <t>Lewis &amp; Clark Pioneers</t>
  </si>
  <si>
    <t>Life Pacific Warriors</t>
  </si>
  <si>
    <t>Lincoln University (CA) Oaklanders</t>
  </si>
  <si>
    <t>Little Rock Trojans</t>
  </si>
  <si>
    <t>Long Beach State Beach</t>
  </si>
  <si>
    <t>Long Island University Sharks</t>
  </si>
  <si>
    <t>Loras Duhawks</t>
  </si>
  <si>
    <t>Louisiana Christian Wildcats</t>
  </si>
  <si>
    <t>Louisiana Ragin' Cajuns</t>
  </si>
  <si>
    <t>Lourdes University Gray Wolves</t>
  </si>
  <si>
    <t>Loyola Maryland Greyhounds</t>
  </si>
  <si>
    <t>Lynchburg Hornets</t>
  </si>
  <si>
    <t>Lyon Scots</t>
  </si>
  <si>
    <t>MIT Engineers</t>
  </si>
  <si>
    <t>Maine-Augusta Moose</t>
  </si>
  <si>
    <t>Maine-Fort Kent Bengals</t>
  </si>
  <si>
    <t>Manhattan Christian Thunder</t>
  </si>
  <si>
    <t>Manhattanville Valiants</t>
  </si>
  <si>
    <t>Manor College Blue Jays</t>
  </si>
  <si>
    <t>Mansfield Mountaineers</t>
  </si>
  <si>
    <t>Mary Baldwin Fighting Squirrels</t>
  </si>
  <si>
    <t>Maryland Eastern Shore Hawks</t>
  </si>
  <si>
    <t>Marywood Pacers</t>
  </si>
  <si>
    <t>Massachusetts-Boston Beacons</t>
  </si>
  <si>
    <t>Mayville St Comets</t>
  </si>
  <si>
    <t>McKendree Bearcats</t>
  </si>
  <si>
    <t>McMurry War Hawks</t>
  </si>
  <si>
    <t>McPherson Mcpherson</t>
  </si>
  <si>
    <t>Menlo Oaks</t>
  </si>
  <si>
    <t>Merchant Marine Academy Mariners</t>
  </si>
  <si>
    <t>Mercy Mavericks</t>
  </si>
  <si>
    <t>Miami (OH) RedHawks</t>
  </si>
  <si>
    <t>Miami (OH)-Hamilton Harriers</t>
  </si>
  <si>
    <t>Miami (OH)-Middletown ThunderHawks</t>
  </si>
  <si>
    <t>Michigan State Spartans</t>
  </si>
  <si>
    <t>Mid-America Christian Evangels</t>
  </si>
  <si>
    <t>Mid-Atlantic Christian Mustangs</t>
  </si>
  <si>
    <t>Midway University Eagles</t>
  </si>
  <si>
    <t>Midwestern State Mustangs</t>
  </si>
  <si>
    <t>Milligan Buffaloes</t>
  </si>
  <si>
    <t>Millsaps Majors</t>
  </si>
  <si>
    <t>Minnesota Crookston Golden Eagles</t>
  </si>
  <si>
    <t>Misericordia Cougars</t>
  </si>
  <si>
    <t>Mississippi State Bulldogs</t>
  </si>
  <si>
    <t>Mississippi University For Women Owls</t>
  </si>
  <si>
    <t>Mississippi Valley State Delta Devils</t>
  </si>
  <si>
    <t>Missouri Baptist Spartans</t>
  </si>
  <si>
    <t>Missouri Southern State Lions</t>
  </si>
  <si>
    <t>Missouri State Bears</t>
  </si>
  <si>
    <t>Mitchell College Mariners</t>
  </si>
  <si>
    <t>Mobile Rams</t>
  </si>
  <si>
    <t>Molloy Lions</t>
  </si>
  <si>
    <t>Montana State Bobcats</t>
  </si>
  <si>
    <t>Montana Tech Orediggers</t>
  </si>
  <si>
    <t>Montana-Western Bulldogs</t>
  </si>
  <si>
    <t>Morehead State Eagles</t>
  </si>
  <si>
    <t>Morehouse Maroon Tigers</t>
  </si>
  <si>
    <t>Morgan State Bears</t>
  </si>
  <si>
    <t>Morris College Hornets</t>
  </si>
  <si>
    <t>Mount Marty College Lancers</t>
  </si>
  <si>
    <t>Mount Olive Trojans</t>
  </si>
  <si>
    <t>Mount Saint Mary (NY) Knights</t>
  </si>
  <si>
    <t>Mount St. Mary's Mountaineers</t>
  </si>
  <si>
    <t>Murray State Racers</t>
  </si>
  <si>
    <t>NJIT Highlanders</t>
  </si>
  <si>
    <t>New College (FL) Mighty Banyans</t>
  </si>
  <si>
    <t>New Haven Chargers</t>
  </si>
  <si>
    <t>New Mexico Highlands Cowboys</t>
  </si>
  <si>
    <t>New Mexico State Aggies</t>
  </si>
  <si>
    <t>Nicholls Colonels</t>
  </si>
  <si>
    <t>Nobel Knights</t>
  </si>
  <si>
    <t>Norfolk State Spartans</t>
  </si>
  <si>
    <t>North Central (MN) Rams</t>
  </si>
  <si>
    <t>North Central College Cardinals</t>
  </si>
  <si>
    <t>North Dakota State Bison</t>
  </si>
  <si>
    <t>North Greenville Crusaders</t>
  </si>
  <si>
    <t>Northeastern State RiverHawks</t>
  </si>
  <si>
    <t>Northern New Mexico Eagles</t>
  </si>
  <si>
    <t>Northern State Wolves</t>
  </si>
  <si>
    <t>Northwest Indian RedHawks</t>
  </si>
  <si>
    <t>Northwest University Eagles</t>
  </si>
  <si>
    <t>Northwestern Oklahoma State Rangers</t>
  </si>
  <si>
    <t>Northwestern State Demons</t>
  </si>
  <si>
    <t>Northwood (MI) Timberwolves</t>
  </si>
  <si>
    <t>Notre Dame (MD) Gators</t>
  </si>
  <si>
    <t>Oakland City Mighty Oaks</t>
  </si>
  <si>
    <t>Oakwood Ambassadors</t>
  </si>
  <si>
    <t>Occidental Tigers</t>
  </si>
  <si>
    <t>Oglethorpe Stormy Petrels</t>
  </si>
  <si>
    <t>Ohio Christian Trailblazers</t>
  </si>
  <si>
    <t>Ohio State Buckeyes</t>
  </si>
  <si>
    <t>Ohio Wesleyan Battling Bishops</t>
  </si>
  <si>
    <t>Oklahoma Christian OKLAHOMA CHRISTIAN</t>
  </si>
  <si>
    <t>Oklahoma State Cowboys</t>
  </si>
  <si>
    <t>Old Westbury Panthers</t>
  </si>
  <si>
    <t>Olivet Comets</t>
  </si>
  <si>
    <t>Omaha Mavericks</t>
  </si>
  <si>
    <t>Oregon State Beavers</t>
  </si>
  <si>
    <t>Ottawa (AZ) Spirit</t>
  </si>
  <si>
    <t>Our Lady Of The Lake Saints</t>
  </si>
  <si>
    <t>Ozark Christian Ambassadors</t>
  </si>
  <si>
    <t>Pacific Lutheran Lutes</t>
  </si>
  <si>
    <t>Pacific Union PACIFIC UNION</t>
  </si>
  <si>
    <t>Paine Lions</t>
  </si>
  <si>
    <t>Park University Gilbert Buccaneers</t>
  </si>
  <si>
    <t>Paul Quinn Tigers</t>
  </si>
  <si>
    <t>Paul Smith's Bobcats</t>
  </si>
  <si>
    <t>Penn St Abington Nittany Lions</t>
  </si>
  <si>
    <t>Penn State (Brandywine) Lions</t>
  </si>
  <si>
    <t>Penn State Hazleton Nittany Lions</t>
  </si>
  <si>
    <t>Penn State Nittany Lions</t>
  </si>
  <si>
    <t>Penn State-Behrend Lions</t>
  </si>
  <si>
    <t>Penn State-New Kensington Lions</t>
  </si>
  <si>
    <t>Penn State-Shenango Nittany Lions</t>
  </si>
  <si>
    <t>Penn State-York Nittany Lions</t>
  </si>
  <si>
    <t>Pennsylvania Quakers</t>
  </si>
  <si>
    <t>Pensacola Christian College PENSACOLA CHRISTIAN</t>
  </si>
  <si>
    <t>Peru State Bobcats</t>
  </si>
  <si>
    <t>Pfeiffer Falcons</t>
  </si>
  <si>
    <t>Piedmont Lions</t>
  </si>
  <si>
    <t>Pittsburgh - Greensburg Bobcats</t>
  </si>
  <si>
    <t>Plattsburgh St Cardinals</t>
  </si>
  <si>
    <t>Point University Skyhawks</t>
  </si>
  <si>
    <t>Portland State Vikings</t>
  </si>
  <si>
    <t>Principia College PRINCIPIA</t>
  </si>
  <si>
    <t>Puget Sound Loggers</t>
  </si>
  <si>
    <t>Queens University Royals</t>
  </si>
  <si>
    <t>RIT Tigers</t>
  </si>
  <si>
    <t>Randolph College Wildcats</t>
  </si>
  <si>
    <t>Redlands Bulldogs</t>
  </si>
  <si>
    <t>Regent Royals</t>
  </si>
  <si>
    <t>Regis (CO) REGIS UNIVERSITY</t>
  </si>
  <si>
    <t>Regis Pride</t>
  </si>
  <si>
    <t>Reinhardt Eagles</t>
  </si>
  <si>
    <t>Rhodes Lynx</t>
  </si>
  <si>
    <t>Ripon Red Hawks</t>
  </si>
  <si>
    <t>Rivier Raiders</t>
  </si>
  <si>
    <t>Roberts Wesleyan Redhawks</t>
  </si>
  <si>
    <t>Rockford Regents</t>
  </si>
  <si>
    <t>Rosemont Ravens</t>
  </si>
  <si>
    <t>Rowan Profs</t>
  </si>
  <si>
    <t>Rust Bearcats</t>
  </si>
  <si>
    <t>Rutgers-Camden Scarlet Raptors</t>
  </si>
  <si>
    <t>SE Louisiana Lions</t>
  </si>
  <si>
    <t>SUNY Cobleskill Fighting Tigers</t>
  </si>
  <si>
    <t>SUNY Delhi Broncos</t>
  </si>
  <si>
    <t>SUNY-Canton Roos</t>
  </si>
  <si>
    <t>SUNY-Maritime Privateers</t>
  </si>
  <si>
    <t>SUNY-Oneonta Red Dragons</t>
  </si>
  <si>
    <t>Sacramento State Hornets</t>
  </si>
  <si>
    <t>Saint John's (MN) Johnnies</t>
  </si>
  <si>
    <t>Saint Joseph's Hawks</t>
  </si>
  <si>
    <t>Saint Josephs Long Island Golden Eagles</t>
  </si>
  <si>
    <t>Saint Leo Monarchs</t>
  </si>
  <si>
    <t>Saint Mary of the Woods College Pomeroys</t>
  </si>
  <si>
    <t>Saint Mary's Gaels</t>
  </si>
  <si>
    <t>Saint Peter's Peacocks</t>
  </si>
  <si>
    <t>Salish Kootenai Bison</t>
  </si>
  <si>
    <t>Salve Regina Seahawks</t>
  </si>
  <si>
    <t>Sam Houston Bearkats</t>
  </si>
  <si>
    <t>San Diego State Aztecs</t>
  </si>
  <si>
    <t>San Francisco State Gators</t>
  </si>
  <si>
    <t>San José State Spartans</t>
  </si>
  <si>
    <t>Sarah Lawrence Gryphons</t>
  </si>
  <si>
    <t>Schreiner Mountaineers</t>
  </si>
  <si>
    <t>Science &amp; Arts (OK) Drovers</t>
  </si>
  <si>
    <t>Seattle U Redhawks</t>
  </si>
  <si>
    <t>Shaw Bears</t>
  </si>
  <si>
    <t>Shenandoah Hornets</t>
  </si>
  <si>
    <t>Siena Heights Saints</t>
  </si>
  <si>
    <t>Simpson College (IA) Storm</t>
  </si>
  <si>
    <t>Simpson University (CA) Red Hawks</t>
  </si>
  <si>
    <t>South Carolina State Bulldogs</t>
  </si>
  <si>
    <t>South Carolina Upstate Spartans</t>
  </si>
  <si>
    <t>South Dakota State Jackrabbits</t>
  </si>
  <si>
    <t>Southeast Missouri State Redhawks</t>
  </si>
  <si>
    <t>Southern Arkansas Muleriders</t>
  </si>
  <si>
    <t>Southern Virginia Knights</t>
  </si>
  <si>
    <t>Southern Wesleyan Warriors</t>
  </si>
  <si>
    <t>Southern-New Orleans Knights</t>
  </si>
  <si>
    <t>Southwestern Adventist Knights</t>
  </si>
  <si>
    <t>Southwestern Christian Eagles</t>
  </si>
  <si>
    <t>Spring Hill Badgers</t>
  </si>
  <si>
    <t>Spurgeon College Knights</t>
  </si>
  <si>
    <t>St. Ambrose Fighting Bees</t>
  </si>
  <si>
    <t>St. Bonaventure Bonnies</t>
  </si>
  <si>
    <t>St. Elizabeth Eagles</t>
  </si>
  <si>
    <t>St. Francis (IL) Fighting Saints</t>
  </si>
  <si>
    <t>St. John Fisher Cardinals</t>
  </si>
  <si>
    <t>St. John's Red Storm</t>
  </si>
  <si>
    <t>St. Joseph's (NY) Bears</t>
  </si>
  <si>
    <t>St. Mary's (MD) Seahawks</t>
  </si>
  <si>
    <t>St. Scholastica Saints</t>
  </si>
  <si>
    <t>St. Thomas (TX) Celts</t>
  </si>
  <si>
    <t>St. Thomas-Minnesota Tommies</t>
  </si>
  <si>
    <t>St. Xavier (IL) Cougars</t>
  </si>
  <si>
    <t>Stanton Elks</t>
  </si>
  <si>
    <t>Stephen F. Austin Lumberjacks</t>
  </si>
  <si>
    <t>Tarleton State Texans</t>
  </si>
  <si>
    <t>Tennessee Southern Firehawks</t>
  </si>
  <si>
    <t>Tennessee State Tigers</t>
  </si>
  <si>
    <t>Tennessee Wesleyan Bulldogs</t>
  </si>
  <si>
    <t>Texas A&amp;M-Corpus Christi Islanders</t>
  </si>
  <si>
    <t>Texas A&amp;M-San Antonio Jaguars</t>
  </si>
  <si>
    <t>Texas Lutheran Bulldogs</t>
  </si>
  <si>
    <t>Texas State Bobcats</t>
  </si>
  <si>
    <t>Thiel Tomcats</t>
  </si>
  <si>
    <t>Thomas (ME) Terriers</t>
  </si>
  <si>
    <t>Tiffin Dragons</t>
  </si>
  <si>
    <t>Toccoa Falls Eagles</t>
  </si>
  <si>
    <t>Tougaloo Bulldogs</t>
  </si>
  <si>
    <t>Trinity (FL) Tigers</t>
  </si>
  <si>
    <t>Trinity (TX) Tigers</t>
  </si>
  <si>
    <t>Trinity Christian (IL) Trolls</t>
  </si>
  <si>
    <t>Trinity College of Jacksonville Eagles</t>
  </si>
  <si>
    <t>Truett-McConnell Bears</t>
  </si>
  <si>
    <t>Tusculum Pioneers</t>
  </si>
  <si>
    <t>UAlbany Great Danes</t>
  </si>
  <si>
    <t>UC Merced Bobcats</t>
  </si>
  <si>
    <t>UC Santa Cruz Banana Slugs</t>
  </si>
  <si>
    <t>UL Monroe Warhawks</t>
  </si>
  <si>
    <t>UNT Dallas Trailblazers</t>
  </si>
  <si>
    <t>UT Arlington Mavericks</t>
  </si>
  <si>
    <t>UT Martin Skyhawks</t>
  </si>
  <si>
    <t>UT Permian Basin Falcons</t>
  </si>
  <si>
    <t>Union (KY) Bulldogs</t>
  </si>
  <si>
    <t>University of Health Sciences &amp; Pharmacy Eutectics</t>
  </si>
  <si>
    <t>University of The Southwest Mustangs</t>
  </si>
  <si>
    <t>Valley Forge Patriots</t>
  </si>
  <si>
    <t>Vassar Brewers</t>
  </si>
  <si>
    <t>Vermont State - Johnson Badgers</t>
  </si>
  <si>
    <t>Vermont State - Lyndon Hornets</t>
  </si>
  <si>
    <t>Virginia St Trojans</t>
  </si>
  <si>
    <t>Virginia-Lynchburg Dragons</t>
  </si>
  <si>
    <t>Voorhees Tigers</t>
  </si>
  <si>
    <t>WVU Tech Golden Bears</t>
  </si>
  <si>
    <t>Warner Pacific Knights</t>
  </si>
  <si>
    <t>Warren Wilson Owls</t>
  </si>
  <si>
    <t>Washington Adventist Shock</t>
  </si>
  <si>
    <t>Washington College (MD) Shoremen</t>
  </si>
  <si>
    <t>Washington State Cougars</t>
  </si>
  <si>
    <t>Washington and Lee Generals</t>
  </si>
  <si>
    <t>Waynesburg Yellow Jackets</t>
  </si>
  <si>
    <t>Webster Gorloks</t>
  </si>
  <si>
    <t>West Coast Baptist Eagles</t>
  </si>
  <si>
    <t>West Virginia Wesleyan Bobcats</t>
  </si>
  <si>
    <t>Western New England Golden Bears</t>
  </si>
  <si>
    <t>Western New Mexico Mustangs</t>
  </si>
  <si>
    <t>Westminster (UT) Griffins</t>
  </si>
  <si>
    <t>Whitman Missionaries</t>
  </si>
  <si>
    <t>Whittier Poets</t>
  </si>
  <si>
    <t>Wichita State Shockers</t>
  </si>
  <si>
    <t>Widener Pride</t>
  </si>
  <si>
    <t>Willamette Bearcats</t>
  </si>
  <si>
    <t>William Carey Crusaders</t>
  </si>
  <si>
    <t>William Peace Pacers</t>
  </si>
  <si>
    <t>Williams Baptist Eagles</t>
  </si>
  <si>
    <t>Wilmington (DE) Wildcats</t>
  </si>
  <si>
    <t>Wilson College WILSON</t>
  </si>
  <si>
    <t>Worcester State Lancers</t>
  </si>
  <si>
    <t>Wright State Raiders</t>
  </si>
  <si>
    <t>York College Nebraska Panthers</t>
  </si>
  <si>
    <t>Youngstown State Penguins</t>
  </si>
  <si>
    <t>DataThrough</t>
  </si>
  <si>
    <t>Season</t>
  </si>
  <si>
    <t>TeamName</t>
  </si>
  <si>
    <t>Seed</t>
  </si>
  <si>
    <t>ConfShort</t>
  </si>
  <si>
    <t>Coach</t>
  </si>
  <si>
    <t>Wins</t>
  </si>
  <si>
    <t>Losses</t>
  </si>
  <si>
    <t>AdjEM</t>
  </si>
  <si>
    <t>RankAdjEM</t>
  </si>
  <si>
    <t>Pythag</t>
  </si>
  <si>
    <t>RankPythag</t>
  </si>
  <si>
    <t>AdjOE</t>
  </si>
  <si>
    <t>RankAdjOE</t>
  </si>
  <si>
    <t>OE</t>
  </si>
  <si>
    <t>RankOE</t>
  </si>
  <si>
    <t>AdjDE</t>
  </si>
  <si>
    <t>RankAdjDE</t>
  </si>
  <si>
    <t>DE</t>
  </si>
  <si>
    <t>RankDE</t>
  </si>
  <si>
    <t>Tempo</t>
  </si>
  <si>
    <t>RankTempo</t>
  </si>
  <si>
    <t>AdjTempo</t>
  </si>
  <si>
    <t>RankAdjTempo</t>
  </si>
  <si>
    <t>Luck</t>
  </si>
  <si>
    <t>RankLuck</t>
  </si>
  <si>
    <t>SOS</t>
  </si>
  <si>
    <t>RankSOS</t>
  </si>
  <si>
    <t>SOSO</t>
  </si>
  <si>
    <t>RankSOSO</t>
  </si>
  <si>
    <t>SOSD</t>
  </si>
  <si>
    <t>RankSOSD</t>
  </si>
  <si>
    <t>NCSOS</t>
  </si>
  <si>
    <t>RankNCSOS</t>
  </si>
  <si>
    <t>Event</t>
  </si>
  <si>
    <t>APL_Off</t>
  </si>
  <si>
    <t>RankAPL_Off</t>
  </si>
  <si>
    <t>APL_Def</t>
  </si>
  <si>
    <t>RankAPL_Def</t>
  </si>
  <si>
    <t>ConfAPL_Off</t>
  </si>
  <si>
    <t>RankConfAPL_Off</t>
  </si>
  <si>
    <t>ConfAPL_Def</t>
  </si>
  <si>
    <t>RankConfAPL_Def</t>
  </si>
  <si>
    <t>Thursday, March 12</t>
  </si>
  <si>
    <t>Jon Scheyer</t>
  </si>
  <si>
    <t>Dusty May</t>
  </si>
  <si>
    <t>Tommy Lloyd</t>
  </si>
  <si>
    <t>Todd Golden</t>
  </si>
  <si>
    <t>Brad Underwood</t>
  </si>
  <si>
    <t>Kelvin Sampson</t>
  </si>
  <si>
    <t>T.J. Otzelberger</t>
  </si>
  <si>
    <t>Matt Painter</t>
  </si>
  <si>
    <t>Tom Izzo</t>
  </si>
  <si>
    <t>Dan Hurley</t>
  </si>
  <si>
    <t>Mark Few</t>
  </si>
  <si>
    <t>Fred Hoiberg</t>
  </si>
  <si>
    <t>Mark Byington</t>
  </si>
  <si>
    <t>Rick Barnes</t>
  </si>
  <si>
    <t>Nate Oats</t>
  </si>
  <si>
    <t>John Calipari</t>
  </si>
  <si>
    <t>Pat Kelsey</t>
  </si>
  <si>
    <t>Bill Self</t>
  </si>
  <si>
    <t>Ryan Odom</t>
  </si>
  <si>
    <t>Grant McCasland</t>
  </si>
  <si>
    <t>Rick Pitino</t>
  </si>
  <si>
    <t>Kevin Young</t>
  </si>
  <si>
    <t>Randy Bennett</t>
  </si>
  <si>
    <t>Greg Gard</t>
  </si>
  <si>
    <t>Ben McCollum</t>
  </si>
  <si>
    <t>Jake Diebler</t>
  </si>
  <si>
    <t>Jai Lucas</t>
  </si>
  <si>
    <t>Mark Pope</t>
  </si>
  <si>
    <t>Mick Cronin</t>
  </si>
  <si>
    <t>Hubert Davis</t>
  </si>
  <si>
    <t>Mike White</t>
  </si>
  <si>
    <t>Jerrod Calhoun</t>
  </si>
  <si>
    <t>Kevin Willard</t>
  </si>
  <si>
    <t>Will Wade</t>
  </si>
  <si>
    <t>Herb Sendek</t>
  </si>
  <si>
    <t>Brad Brownell</t>
  </si>
  <si>
    <t>Sean Miller</t>
  </si>
  <si>
    <t>Steven Pearl</t>
  </si>
  <si>
    <t>Josh Schertz</t>
  </si>
  <si>
    <t>Bucky McMillan</t>
  </si>
  <si>
    <t>Porter Moser</t>
  </si>
  <si>
    <t>Andy Enfield</t>
  </si>
  <si>
    <t>Jamie Dixon</t>
  </si>
  <si>
    <t>Wes Miller</t>
  </si>
  <si>
    <t>Darian DeVries</t>
  </si>
  <si>
    <t>Brian Dutcher</t>
  </si>
  <si>
    <t>Phil Martelli Jr.</t>
  </si>
  <si>
    <t>Scott Drew</t>
  </si>
  <si>
    <t>Eric Olen</t>
  </si>
  <si>
    <t>Shaheen Holloway</t>
  </si>
  <si>
    <t>Dennis Gates</t>
  </si>
  <si>
    <t>Bryan Hodgson</t>
  </si>
  <si>
    <t>Danny Sprinkle</t>
  </si>
  <si>
    <t>Johnny Dawkins</t>
  </si>
  <si>
    <t>Eric Konkol</t>
  </si>
  <si>
    <t>Mike Young</t>
  </si>
  <si>
    <t>Luke Loucks</t>
  </si>
  <si>
    <t>Kyle Smith</t>
  </si>
  <si>
    <t>Chris Collins</t>
  </si>
  <si>
    <t>Ross Hodge</t>
  </si>
  <si>
    <t>Bryce Drew</t>
  </si>
  <si>
    <t>Leon Rice</t>
  </si>
  <si>
    <t>Matt McMahon</t>
  </si>
  <si>
    <t>John Groce</t>
  </si>
  <si>
    <t>Steve Lutz</t>
  </si>
  <si>
    <t>Bill Armstrong</t>
  </si>
  <si>
    <t>Bobby Hurley</t>
  </si>
  <si>
    <t>Casey Alexander</t>
  </si>
  <si>
    <t>Tad Boyle</t>
  </si>
  <si>
    <t>Ben Jacobson</t>
  </si>
  <si>
    <t>Kim English</t>
  </si>
  <si>
    <t>Chris Beard</t>
  </si>
  <si>
    <t>Steve Alford</t>
  </si>
  <si>
    <t>Mark Madsen</t>
  </si>
  <si>
    <t>Steve Forbes</t>
  </si>
  <si>
    <t>Ed Cooley</t>
  </si>
  <si>
    <t>Greg McDermott</t>
  </si>
  <si>
    <t>Niko Medved</t>
  </si>
  <si>
    <t>Eric Musselman</t>
  </si>
  <si>
    <t>Anthony Grant</t>
  </si>
  <si>
    <t>James Jones</t>
  </si>
  <si>
    <t>Adrian Autry</t>
  </si>
  <si>
    <t>Chris Caputo</t>
  </si>
  <si>
    <t>Shaka Smart</t>
  </si>
  <si>
    <t>Ali Farokhmanesh</t>
  </si>
  <si>
    <t>Thad Matta</t>
  </si>
  <si>
    <t>Speedy Claxton</t>
  </si>
  <si>
    <t>Paul Mills</t>
  </si>
  <si>
    <t>Todd Phillips</t>
  </si>
  <si>
    <t>Micah Shrewsberry</t>
  </si>
  <si>
    <t>Matt Braeuer</t>
  </si>
  <si>
    <t>Flynn Clayman</t>
  </si>
  <si>
    <t>Travis Steele</t>
  </si>
  <si>
    <t>Jeff Capel III</t>
  </si>
  <si>
    <t>Lamont Paris</t>
  </si>
  <si>
    <t>Richard Pitino</t>
  </si>
  <si>
    <t>Sundance Wicks</t>
  </si>
  <si>
    <t>Tony Skinn</t>
  </si>
  <si>
    <t>Jerome Tang</t>
  </si>
  <si>
    <t>Dana Altman</t>
  </si>
  <si>
    <t>Chris Jans</t>
  </si>
  <si>
    <t>Chris Holtmann</t>
  </si>
  <si>
    <t>Ryan Pedon</t>
  </si>
  <si>
    <t>Rob Ehsan</t>
  </si>
  <si>
    <t>Russell Turner</t>
  </si>
  <si>
    <t>Chris Mudge</t>
  </si>
  <si>
    <t>Josh Pastner</t>
  </si>
  <si>
    <t>Johnny Tauer</t>
  </si>
  <si>
    <t>Takayo Siddle</t>
  </si>
  <si>
    <t>Matt McKillop</t>
  </si>
  <si>
    <t>Dave Smart</t>
  </si>
  <si>
    <t>Rick Croy</t>
  </si>
  <si>
    <t>Dave Richman</t>
  </si>
  <si>
    <t>Eran Ganot</t>
  </si>
  <si>
    <t>Kahil Fennell</t>
  </si>
  <si>
    <t>Scott Nagy</t>
  </si>
  <si>
    <t>Clint Allard</t>
  </si>
  <si>
    <t>Chris Victor</t>
  </si>
  <si>
    <t>Chris Gerlufsen</t>
  </si>
  <si>
    <t>Buzz Williams</t>
  </si>
  <si>
    <t>Ryan Miller</t>
  </si>
  <si>
    <t>Steve Donahue</t>
  </si>
  <si>
    <t>Brian Wardle</t>
  </si>
  <si>
    <t>Steve Pikiell</t>
  </si>
  <si>
    <t>Ritchie McKay</t>
  </si>
  <si>
    <t>Andy Kennedy</t>
  </si>
  <si>
    <t>Alex Jensen</t>
  </si>
  <si>
    <t>Dru Joyce</t>
  </si>
  <si>
    <t>John Jakus</t>
  </si>
  <si>
    <t>Joe Pasternack</t>
  </si>
  <si>
    <t>Vance Walberg</t>
  </si>
  <si>
    <t>Matt Logie</t>
  </si>
  <si>
    <t>Tod Kowalczyk</t>
  </si>
  <si>
    <t>Archie Miller</t>
  </si>
  <si>
    <t>David Riley</t>
  </si>
  <si>
    <t>Penny Hardaway</t>
  </si>
  <si>
    <t>Daniyal Robinson</t>
  </si>
  <si>
    <t>Mike Rhoades</t>
  </si>
  <si>
    <t>Mark Schmidt</t>
  </si>
  <si>
    <t>Clint Sargent</t>
  </si>
  <si>
    <t>Steve Smiley</t>
  </si>
  <si>
    <t>Jon Perry</t>
  </si>
  <si>
    <t>Scott Cross</t>
  </si>
  <si>
    <t>Andrew Toole</t>
  </si>
  <si>
    <t>Alex Pribble</t>
  </si>
  <si>
    <t>Jase Coburn</t>
  </si>
  <si>
    <t>Todd Simon</t>
  </si>
  <si>
    <t>Brian Earl</t>
  </si>
  <si>
    <t>Rob Senderoff</t>
  </si>
  <si>
    <t>Ryan Pannone</t>
  </si>
  <si>
    <t>Tommy Amaker</t>
  </si>
  <si>
    <t>John Shulman</t>
  </si>
  <si>
    <t>Mark Prosser</t>
  </si>
  <si>
    <t>Earl Grant</t>
  </si>
  <si>
    <t>K.T. Turner</t>
  </si>
  <si>
    <t>Pat Skerry</t>
  </si>
  <si>
    <t>Roger Powell</t>
  </si>
  <si>
    <t>Jon Jaques</t>
  </si>
  <si>
    <t>Jim Les</t>
  </si>
  <si>
    <t>Dedrique Taylor</t>
  </si>
  <si>
    <t>Chris Mooney</t>
  </si>
  <si>
    <t>Stan Johnson</t>
  </si>
  <si>
    <t>Damon Stoudamire</t>
  </si>
  <si>
    <t>Fran McCaffery</t>
  </si>
  <si>
    <t>Adam Fisher</t>
  </si>
  <si>
    <t>Mike Magpayo</t>
  </si>
  <si>
    <t>Brooks Savage</t>
  </si>
  <si>
    <t>Greg Kampe</t>
  </si>
  <si>
    <t>Andy Newman</t>
  </si>
  <si>
    <t>Dan Monson</t>
  </si>
  <si>
    <t>Hank Plona</t>
  </si>
  <si>
    <t>Chris Mack</t>
  </si>
  <si>
    <t>Jim Shaw</t>
  </si>
  <si>
    <t>Corey Gipson</t>
  </si>
  <si>
    <t>Antoine Pettway</t>
  </si>
  <si>
    <t>Darrin Horn</t>
  </si>
  <si>
    <t>Wayne Tinkle</t>
  </si>
  <si>
    <t>Nicholas McDevitt</t>
  </si>
  <si>
    <t>Joe Gallo</t>
  </si>
  <si>
    <t>King Rice</t>
  </si>
  <si>
    <t>Jon Judkins</t>
  </si>
  <si>
    <t>Grant Leonard</t>
  </si>
  <si>
    <t>John Andrzejek</t>
  </si>
  <si>
    <t>Aaron Fearne</t>
  </si>
  <si>
    <t>Jason Hooten</t>
  </si>
  <si>
    <t>Travis DeCuire</t>
  </si>
  <si>
    <t>Nolan Smith</t>
  </si>
  <si>
    <t>Ryan Ridder</t>
  </si>
  <si>
    <t>Bob Richey</t>
  </si>
  <si>
    <t>Kevin Hovde</t>
  </si>
  <si>
    <t>Gerry McNamara</t>
  </si>
  <si>
    <t>Jeremy Ballard</t>
  </si>
  <si>
    <t>Stacy Hollowell</t>
  </si>
  <si>
    <t>Jim Ferry</t>
  </si>
  <si>
    <t>Frank Martin</t>
  </si>
  <si>
    <t>Dustin Kerns</t>
  </si>
  <si>
    <t>Talvin Hester</t>
  </si>
  <si>
    <t>Eric Duft</t>
  </si>
  <si>
    <t>Eric Henderson</t>
  </si>
  <si>
    <t>George Halcovage</t>
  </si>
  <si>
    <t>Kevin Carroll</t>
  </si>
  <si>
    <t>Shantay Legans</t>
  </si>
  <si>
    <t>Matthew Graves</t>
  </si>
  <si>
    <t>Cuonzo Martin</t>
  </si>
  <si>
    <t>Kenny Blakeney</t>
  </si>
  <si>
    <t>John Dunne</t>
  </si>
  <si>
    <t>Richie Riley</t>
  </si>
  <si>
    <t>Cornelius Jackson</t>
  </si>
  <si>
    <t>Ray Harper</t>
  </si>
  <si>
    <t>Doug Gottlieb</t>
  </si>
  <si>
    <t>Mike DeGeorge</t>
  </si>
  <si>
    <t>Ron Hunter</t>
  </si>
  <si>
    <t>Lennie Acuff</t>
  </si>
  <si>
    <t>Rod Strickland</t>
  </si>
  <si>
    <t>Preston Spradlin</t>
  </si>
  <si>
    <t>Ethan Faulkner</t>
  </si>
  <si>
    <t>Mark Montgomery</t>
  </si>
  <si>
    <t>Jay Ladner</t>
  </si>
  <si>
    <t>Tom Pecora</t>
  </si>
  <si>
    <t>Bryan Petersen</t>
  </si>
  <si>
    <t>Billy Gillispie</t>
  </si>
  <si>
    <t>Zach Spiker</t>
  </si>
  <si>
    <t>Jeremy Shulman</t>
  </si>
  <si>
    <t>Tim Miles</t>
  </si>
  <si>
    <t>Steve Lavin</t>
  </si>
  <si>
    <t>Rob Lanier</t>
  </si>
  <si>
    <t>Geno Ford</t>
  </si>
  <si>
    <t>Tim Craft</t>
  </si>
  <si>
    <t>Jeff Boals</t>
  </si>
  <si>
    <t>Billy Taylor</t>
  </si>
  <si>
    <t>Chris Acker</t>
  </si>
  <si>
    <t>Brad Korn</t>
  </si>
  <si>
    <t>John Becker</t>
  </si>
  <si>
    <t>Tim Bergstraser</t>
  </si>
  <si>
    <t>Darris Nichols</t>
  </si>
  <si>
    <t>Charlie Henry</t>
  </si>
  <si>
    <t>Tevon Saddler</t>
  </si>
  <si>
    <t>Alvin Brooks</t>
  </si>
  <si>
    <t>Duane Simpkins</t>
  </si>
  <si>
    <t>Stan Heath</t>
  </si>
  <si>
    <t>Saah Nimley</t>
  </si>
  <si>
    <t>Brette Tanner</t>
  </si>
  <si>
    <t>Reggie Theus</t>
  </si>
  <si>
    <t>Pat Chambers</t>
  </si>
  <si>
    <t>Terrence Johnson</t>
  </si>
  <si>
    <t>Mike Morrell</t>
  </si>
  <si>
    <t>Justin Gray</t>
  </si>
  <si>
    <t>Matt Langel</t>
  </si>
  <si>
    <t>Ryan Looney</t>
  </si>
  <si>
    <t>Mike K. Jones</t>
  </si>
  <si>
    <t>Mitch Henderson</t>
  </si>
  <si>
    <t>Rob Jeter</t>
  </si>
  <si>
    <t>Kevin Giltner</t>
  </si>
  <si>
    <t>Mike Schwartz</t>
  </si>
  <si>
    <t>Bashir Mason</t>
  </si>
  <si>
    <t>Brian Barone</t>
  </si>
  <si>
    <t>Zach Chu</t>
  </si>
  <si>
    <t>Gus Argenal</t>
  </si>
  <si>
    <t>Dan Geriot</t>
  </si>
  <si>
    <t>Jon Coffman</t>
  </si>
  <si>
    <t>Chris Crutchfield</t>
  </si>
  <si>
    <t>Joe Jones</t>
  </si>
  <si>
    <t>Ed Schilling</t>
  </si>
  <si>
    <t>Chris Casey</t>
  </si>
  <si>
    <t>Mike Bibby</t>
  </si>
  <si>
    <t>Kyle Gerdeman</t>
  </si>
  <si>
    <t>Shane Heirman</t>
  </si>
  <si>
    <t>Bart Lundy</t>
  </si>
  <si>
    <t>Andy Bronkema</t>
  </si>
  <si>
    <t>Quinton Ferrell</t>
  </si>
  <si>
    <t>Ronnie Thomas</t>
  </si>
  <si>
    <t>Ivan Thomas</t>
  </si>
  <si>
    <t>Dwayne Stephens</t>
  </si>
  <si>
    <t>Dave McLaughlin</t>
  </si>
  <si>
    <t>Kevin Johnson</t>
  </si>
  <si>
    <t>Paul Sather</t>
  </si>
  <si>
    <t>Joe Golding</t>
  </si>
  <si>
    <t>Donny Lind</t>
  </si>
  <si>
    <t>Doug Davenport</t>
  </si>
  <si>
    <t>Drew Valentine</t>
  </si>
  <si>
    <t>Rick Cabrera</t>
  </si>
  <si>
    <t>Eric Peterson</t>
  </si>
  <si>
    <t>Jonathan Mattox</t>
  </si>
  <si>
    <t>Brett Reed</t>
  </si>
  <si>
    <t>David Kiefer</t>
  </si>
  <si>
    <t>Bill Coen</t>
  </si>
  <si>
    <t>Gary Manchel</t>
  </si>
  <si>
    <t>Jaret Von Rosenberg</t>
  </si>
  <si>
    <t>Mike Martin</t>
  </si>
  <si>
    <t>Monte Ross</t>
  </si>
  <si>
    <t>Craig Doty</t>
  </si>
  <si>
    <t>Martin Ingelsby</t>
  </si>
  <si>
    <t>Mike Lewis</t>
  </si>
  <si>
    <t>Jordan Mincy</t>
  </si>
  <si>
    <t>Anthony Latina</t>
  </si>
  <si>
    <t>A.W. Hamilton</t>
  </si>
  <si>
    <t>Donte Jackson</t>
  </si>
  <si>
    <t>Nate Champion</t>
  </si>
  <si>
    <t>Patrick Crarey</t>
  </si>
  <si>
    <t>Mike R. Jones</t>
  </si>
  <si>
    <t>Dan Earl</t>
  </si>
  <si>
    <t>Byron Smith</t>
  </si>
  <si>
    <t>Marty Richter</t>
  </si>
  <si>
    <t>Donnie Jones</t>
  </si>
  <si>
    <t>Dave Moore</t>
  </si>
  <si>
    <t>Dwan McMillan</t>
  </si>
  <si>
    <t>Patrick Sellers</t>
  </si>
  <si>
    <t>David Ragland</t>
  </si>
  <si>
    <t>Kory Barnett</t>
  </si>
  <si>
    <t>Darrell Walker</t>
  </si>
  <si>
    <t>Jonas Hayes</t>
  </si>
  <si>
    <t>Charlie Ward</t>
  </si>
  <si>
    <t>Quannas White</t>
  </si>
  <si>
    <t>John Pelphrey</t>
  </si>
  <si>
    <t>Solomon Bozeman</t>
  </si>
  <si>
    <t>Johnny Jones</t>
  </si>
  <si>
    <t>Ben Howlett</t>
  </si>
  <si>
    <t>Tony Madlock</t>
  </si>
  <si>
    <t>Shane Burcar</t>
  </si>
  <si>
    <t>Rob Summers</t>
  </si>
  <si>
    <t>Pat Duquette</t>
  </si>
  <si>
    <t>Josh Loeffler</t>
  </si>
  <si>
    <t>Marty Simmons</t>
  </si>
  <si>
    <t>Dwayne Killings</t>
  </si>
  <si>
    <t>Mike McGarvey</t>
  </si>
  <si>
    <t>Mike Scott</t>
  </si>
  <si>
    <t>Robert Jones</t>
  </si>
  <si>
    <t>Ted Hotaling</t>
  </si>
  <si>
    <t>Dave Paulsen</t>
  </si>
  <si>
    <t>John Gallagher</t>
  </si>
  <si>
    <t>John Griffin</t>
  </si>
  <si>
    <t>Grant Billmeier</t>
  </si>
  <si>
    <t>Rashon Burno</t>
  </si>
  <si>
    <t>Chris Kraus</t>
  </si>
  <si>
    <t>Bobby Kennen</t>
  </si>
  <si>
    <t>Jack Castleberry</t>
  </si>
  <si>
    <t>Kevin Kuwik</t>
  </si>
  <si>
    <t>Greg Paulus</t>
  </si>
  <si>
    <t>Stan Gouard</t>
  </si>
  <si>
    <t>Austin Claunch</t>
  </si>
  <si>
    <t>Mo Williams</t>
  </si>
  <si>
    <t>Tony Pujol</t>
  </si>
  <si>
    <t>Jim Christian</t>
  </si>
  <si>
    <t>Landon Bussie</t>
  </si>
  <si>
    <t>Joe Scott</t>
  </si>
  <si>
    <t>Ed Conroy</t>
  </si>
  <si>
    <t>Chris Markwood</t>
  </si>
  <si>
    <t>Jake Morton</t>
  </si>
  <si>
    <t>Nathan Davis</t>
  </si>
  <si>
    <t>Cleo Hill</t>
  </si>
  <si>
    <t>Phil Cunningham</t>
  </si>
  <si>
    <t>LeVelle Moton</t>
  </si>
  <si>
    <t>Kevin Broadus</t>
  </si>
  <si>
    <t>Luke McConnell</t>
  </si>
  <si>
    <t>Jamion Christian</t>
  </si>
  <si>
    <t>Erik Martin</t>
  </si>
  <si>
    <t>Kevin Baggett</t>
  </si>
  <si>
    <t>Marvin Menzies</t>
  </si>
  <si>
    <t>Levell Sanders</t>
  </si>
  <si>
    <t>Andrew Wilson</t>
  </si>
  <si>
    <t>Jeremy Luther</t>
  </si>
  <si>
    <t>Stan Waterman</t>
  </si>
  <si>
    <t>Larry Stewart</t>
  </si>
  <si>
    <t>Chad Boudreau</t>
  </si>
  <si>
    <t>George Ivory</t>
  </si>
  <si>
    <t>MyBookie.ag</t>
  </si>
  <si>
    <t>over 148.5</t>
  </si>
  <si>
    <t>under 148.5</t>
  </si>
  <si>
    <t>over 136.5</t>
  </si>
  <si>
    <t>under 136.5</t>
  </si>
  <si>
    <t>over 149.5</t>
  </si>
  <si>
    <t>under 149.5</t>
  </si>
  <si>
    <t>over 139.5</t>
  </si>
  <si>
    <t>under 139.5</t>
  </si>
  <si>
    <t>over 140.0</t>
  </si>
  <si>
    <t>under 140.0</t>
  </si>
  <si>
    <t>Houston Cougars_Illinois Fighting Illini</t>
  </si>
  <si>
    <t>Purdue Boilermakers_Texas Longhorns</t>
  </si>
  <si>
    <t>2026-03-26T23:10:36.000Z</t>
  </si>
  <si>
    <t>over 149.0</t>
  </si>
  <si>
    <t>under 149.0</t>
  </si>
  <si>
    <t>Iowa Hawkeyes_Nebraska Cornhuskers</t>
  </si>
  <si>
    <t>2026-03-26T23:30:00.000Z</t>
  </si>
  <si>
    <t>over 134.5</t>
  </si>
  <si>
    <t>under 134.5</t>
  </si>
  <si>
    <t>over 135.5</t>
  </si>
  <si>
    <t>under 135.5</t>
  </si>
  <si>
    <t>Arizona Wildcats_Arkansas Razorbacks</t>
  </si>
  <si>
    <t>2026-03-27T01:45:00.000Z</t>
  </si>
  <si>
    <t>2026-03-27T02:05:00.000Z</t>
  </si>
  <si>
    <t>Duke Blue Devils_St. John's Red Storm</t>
  </si>
  <si>
    <t>2026-03-27T23:10:00.000Z</t>
  </si>
  <si>
    <t>over 142.5</t>
  </si>
  <si>
    <t>under 142.5</t>
  </si>
  <si>
    <t>over 142.0</t>
  </si>
  <si>
    <t>under 142.0</t>
  </si>
  <si>
    <t>Alabama Crimson Tide_Michigan Wolverines</t>
  </si>
  <si>
    <t>2026-03-27T23:35:00.000Z</t>
  </si>
  <si>
    <t>over 175.5</t>
  </si>
  <si>
    <t>under 175.5</t>
  </si>
  <si>
    <t>Michigan St Spartans_UConn Huskies</t>
  </si>
  <si>
    <t>2026-03-28T01:45:00.000Z</t>
  </si>
  <si>
    <t>Iowa State Cyclones_Tennessee Volunteers</t>
  </si>
  <si>
    <t>2026-03-28T02:10:00.000Z</t>
  </si>
  <si>
    <t>over 138.5</t>
  </si>
  <si>
    <t>under 138.5</t>
  </si>
  <si>
    <t>Tulsa Golden Hurricane_Wichita St Shockers</t>
  </si>
  <si>
    <t>2026-03-24T23:00:00.000Z</t>
  </si>
  <si>
    <t>New Mexico Lobos_Saint Joseph's Hawks</t>
  </si>
  <si>
    <t>2026-03-25T01:00:00.000Z</t>
  </si>
  <si>
    <t>Dayton Flyers_Illinois St Redbirds</t>
  </si>
  <si>
    <t>2026-03-25T23:00:00.000Z</t>
  </si>
  <si>
    <t>Auburn Tigers_Nevada Wolf Pack</t>
  </si>
  <si>
    <t>2026-03-26T01:00:00.000Z</t>
  </si>
  <si>
    <t>over 152.5</t>
  </si>
  <si>
    <t>under 152.5</t>
  </si>
  <si>
    <t>over 133.5</t>
  </si>
  <si>
    <t>under 133.5</t>
  </si>
  <si>
    <t>over 167.5</t>
  </si>
  <si>
    <t>under 167.5</t>
  </si>
  <si>
    <t>over 168.0</t>
  </si>
  <si>
    <t>under 168.0</t>
  </si>
  <si>
    <t>over 140.5</t>
  </si>
  <si>
    <t>under 140.5</t>
  </si>
  <si>
    <t>over 141.5</t>
  </si>
  <si>
    <t>under 141.5</t>
  </si>
  <si>
    <t>over 174.5</t>
  </si>
  <si>
    <t>under 174.5</t>
  </si>
  <si>
    <t>over 174.0</t>
  </si>
  <si>
    <t>under 174.0</t>
  </si>
  <si>
    <t>2026-03-23T19:04:14.000Z</t>
  </si>
  <si>
    <t>2026-03-23T19:03:53.000Z</t>
  </si>
  <si>
    <t>2026-03-23T19:04:15.000Z</t>
  </si>
  <si>
    <t>2026-03-23T19:03:43.000Z</t>
  </si>
  <si>
    <t>2026-03-23T19:03:23.000Z</t>
  </si>
  <si>
    <t>2026-03-23T19:03:26.000Z</t>
  </si>
  <si>
    <t>2026-03-23T19:04:04.000Z</t>
  </si>
  <si>
    <t>2026-03-23T19:03:02.000Z</t>
  </si>
  <si>
    <t>2026-03-23T19:01:58.000Z</t>
  </si>
  <si>
    <t>Colorado Buffaloes_Oklahoma Sooners</t>
  </si>
  <si>
    <t>2026-04-02T00:00:00.000Z</t>
  </si>
  <si>
    <t>Baylor Bears_Minnesota Golden Gophers</t>
  </si>
  <si>
    <t>2026-04-02T02:30:00.000Z</t>
  </si>
  <si>
    <t>Stanford Cardinal_West Virginia Mountaineers</t>
  </si>
  <si>
    <t>2026-04-03T00:00:00.000Z</t>
  </si>
  <si>
    <t>Creighton Bluejays_Rutgers Scarlet Knights</t>
  </si>
  <si>
    <t>2026-04-03T02:30:00.000Z</t>
  </si>
  <si>
    <t>2026-03-23T19:04:23.000Z</t>
  </si>
  <si>
    <t>over 153.0</t>
  </si>
  <si>
    <t>under 153.0</t>
  </si>
  <si>
    <t>over 139.0</t>
  </si>
  <si>
    <t>under 139.0</t>
  </si>
  <si>
    <t>over 153.5</t>
  </si>
  <si>
    <t>under 153.5</t>
  </si>
  <si>
    <t>over 154.5</t>
  </si>
  <si>
    <t>under 154.5</t>
  </si>
  <si>
    <t>over 134.0</t>
  </si>
  <si>
    <t>under 134.0</t>
  </si>
  <si>
    <t>over 162.0</t>
  </si>
  <si>
    <t>under 162.0</t>
  </si>
  <si>
    <t>over 147.0</t>
  </si>
  <si>
    <t>under 147.0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</si>
</sst>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b/>
      <sz val="16"/>
      <color rgb="FFFFFFFF"/>
      <name val="Calibri"/>
      <family val="2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E2F0D9"/>
      </patternFill>
    </fill>
    <fill>
      <patternFill patternType="solid">
        <fgColor rgb="FF2F5496"/>
      </patternFill>
    </fill>
    <fill>
      <patternFill patternType="solid">
        <fgColor rgb="FFD6E4F0"/>
      </patternFill>
    </fill>
    <fill>
      <patternFill patternType="solid">
        <fgColor rgb="FF17365D"/>
      </patternFill>
    </fill>
    <fill>
      <patternFill patternType="solid">
        <fgColor rgb="FFFCE4D6"/>
      </patternFill>
    </fill>
    <fill>
      <patternFill patternType="solid">
        <fgColor rgb="FFE2F0D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164" fontId="2" fillId="4" borderId="1" xfId="0" applyNumberFormat="1" applyFont="1" applyFill="1" applyBorder="1"/>
    <xf numFmtId="165" fontId="2" fillId="4" borderId="1" xfId="0" applyNumberFormat="1" applyFont="1" applyFill="1" applyBorder="1"/>
    <xf numFmtId="164" fontId="0" fillId="0" borderId="0" xfId="0" applyNumberFormat="1"/>
    <xf numFmtId="0" fontId="3" fillId="5" borderId="2" xfId="0" applyFont="1" applyFill="1" applyBorder="1" applyAlignment="1">
      <alignment horizontal="center"/>
    </xf>
    <xf numFmtId="0" fontId="4" fillId="6" borderId="2" xfId="0" applyFont="1" applyFill="1" applyBorder="1"/>
    <xf numFmtId="0" fontId="4" fillId="0" borderId="2" xfId="0" applyFont="1" applyBorder="1"/>
    <xf numFmtId="0" fontId="5" fillId="7" borderId="0" xfId="0" applyFont="1" applyFill="1"/>
    <xf numFmtId="0" fontId="0" fillId="8" borderId="3" xfId="0" applyFill="1" applyBorder="1"/>
    <xf numFmtId="0" fontId="6" fillId="7" borderId="3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left"/>
    </xf>
    <xf numFmtId="0" fontId="6" fillId="7" borderId="3" xfId="0" applyFont="1" applyFill="1" applyBorder="1"/>
    <xf numFmtId="49" fontId="8" fillId="9" borderId="3" xfId="0" applyNumberFormat="1" applyFont="1" applyFill="1" applyBorder="1"/>
    <xf numFmtId="1" fontId="8" fillId="9" borderId="3" xfId="0" applyNumberFormat="1" applyFont="1" applyFill="1" applyBorder="1"/>
    <xf numFmtId="0" fontId="6" fillId="7" borderId="0" xfId="0" applyFont="1" applyFill="1"/>
    <xf numFmtId="0" fontId="8" fillId="10" borderId="3" xfId="0" applyFont="1" applyFill="1" applyBorder="1"/>
    <xf numFmtId="164" fontId="8" fillId="9" borderId="3" xfId="0" applyNumberFormat="1" applyFont="1" applyFill="1" applyBorder="1"/>
    <xf numFmtId="165" fontId="8" fillId="9" borderId="3" xfId="0" applyNumberFormat="1" applyFont="1" applyFill="1" applyBorder="1"/>
    <xf numFmtId="1" fontId="8" fillId="10" borderId="3" xfId="0" applyNumberFormat="1" applyFont="1" applyFill="1" applyBorder="1"/>
    <xf numFmtId="0" fontId="0" fillId="0" borderId="3" xfId="0" applyBorder="1"/>
    <xf numFmtId="164" fontId="0" fillId="0" borderId="3" xfId="0" applyNumberFormat="1" applyBorder="1"/>
    <xf numFmtId="165" fontId="0" fillId="0" borderId="3" xfId="0" applyNumberFormat="1" applyBorder="1"/>
    <xf numFmtId="0" fontId="8" fillId="11" borderId="3" xfId="0" applyFont="1" applyFill="1" applyBorder="1"/>
    <xf numFmtId="0" fontId="0" fillId="11" borderId="3" xfId="0" applyFill="1" applyBorder="1"/>
    <xf numFmtId="0" fontId="0" fillId="9" borderId="3" xfId="0" applyFill="1" applyBorder="1"/>
    <xf numFmtId="2" fontId="0" fillId="0" borderId="3" xfId="0" applyNumberFormat="1" applyBorder="1"/>
    <xf numFmtId="1" fontId="0" fillId="0" borderId="3" xfId="0" applyNumberFormat="1" applyBorder="1"/>
    <xf numFmtId="10" fontId="0" fillId="0" borderId="3" xfId="0" applyNumberFormat="1" applyBorder="1"/>
    <xf numFmtId="10" fontId="8" fillId="9" borderId="3" xfId="0" applyNumberFormat="1" applyFont="1" applyFill="1" applyBorder="1"/>
    <xf numFmtId="2" fontId="8" fillId="9" borderId="3" xfId="0" applyNumberFormat="1" applyFont="1" applyFill="1" applyBorder="1"/>
    <xf numFmtId="164" fontId="0" fillId="9" borderId="3" xfId="0" applyNumberFormat="1" applyFill="1" applyBorder="1"/>
    <xf numFmtId="0" fontId="2" fillId="10" borderId="3" xfId="0" applyFont="1" applyFill="1" applyBorder="1"/>
    <xf numFmtId="10" fontId="0" fillId="0" borderId="7" xfId="0" applyNumberFormat="1" applyBorder="1"/>
    <xf numFmtId="1" fontId="0" fillId="12" borderId="6" xfId="0" applyNumberFormat="1" applyFill="1" applyBorder="1"/>
    <xf numFmtId="10" fontId="0" fillId="0" borderId="10" xfId="0" applyNumberFormat="1" applyBorder="1"/>
    <xf numFmtId="2" fontId="0" fillId="13" borderId="3" xfId="0" applyNumberFormat="1" applyFill="1" applyBorder="1"/>
    <xf numFmtId="2" fontId="0" fillId="0" borderId="8" xfId="0" applyNumberFormat="1" applyBorder="1"/>
    <xf numFmtId="2" fontId="0" fillId="12" borderId="6" xfId="0" applyNumberFormat="1" applyFill="1" applyBorder="1"/>
    <xf numFmtId="2" fontId="0" fillId="0" borderId="9" xfId="0" applyNumberFormat="1" applyBorder="1"/>
    <xf numFmtId="0" fontId="7" fillId="7" borderId="4" xfId="0" applyFont="1" applyFill="1" applyBorder="1" applyAlignment="1">
      <alignment horizontal="center"/>
    </xf>
    <xf numFmtId="0" fontId="0" fillId="0" borderId="5" xfId="0" applyBorder="1"/>
    <xf numFmtId="0" fontId="0" fillId="0" borderId="4" xfId="0" applyBorder="1"/>
    <xf numFmtId="0" fontId="6" fillId="7" borderId="4" xfId="0" applyFont="1" applyFill="1" applyBorder="1"/>
    <xf numFmtId="0" fontId="5" fillId="7" borderId="4" xfId="0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Home Cover % by Spread Line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SpreadTotal!$L$10</c:f>
              <c:strCache>
                <c:ptCount val="1"/>
                <c:pt idx="0">
                  <c:v>Home Cover 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SpreadTotal!$K$11:$K$25</c:f>
              <c:numCache>
                <c:formatCode>0.00</c:formatCode>
                <c:ptCount val="15"/>
                <c:pt idx="0">
                  <c:v>-4.5</c:v>
                </c:pt>
                <c:pt idx="1">
                  <c:v>-1.5</c:v>
                </c:pt>
                <c:pt idx="2">
                  <c:v>1.5</c:v>
                </c:pt>
                <c:pt idx="3">
                  <c:v>4.5</c:v>
                </c:pt>
                <c:pt idx="4">
                  <c:v>7.5</c:v>
                </c:pt>
                <c:pt idx="5">
                  <c:v>10.5</c:v>
                </c:pt>
                <c:pt idx="6">
                  <c:v>13.5</c:v>
                </c:pt>
                <c:pt idx="7">
                  <c:v>16.5</c:v>
                </c:pt>
                <c:pt idx="8">
                  <c:v>19.5</c:v>
                </c:pt>
                <c:pt idx="9">
                  <c:v>22.5</c:v>
                </c:pt>
                <c:pt idx="10">
                  <c:v>25.5</c:v>
                </c:pt>
                <c:pt idx="11">
                  <c:v>28.5</c:v>
                </c:pt>
                <c:pt idx="12">
                  <c:v>31.5</c:v>
                </c:pt>
                <c:pt idx="13">
                  <c:v>34.5</c:v>
                </c:pt>
                <c:pt idx="14">
                  <c:v>37.5</c:v>
                </c:pt>
              </c:numCache>
            </c:numRef>
          </c:cat>
          <c:val>
            <c:numRef>
              <c:f>SpreadTotal!$L$11:$L$25</c:f>
              <c:numCache>
                <c:formatCode>0.00%</c:formatCode>
                <c:ptCount val="15"/>
                <c:pt idx="0">
                  <c:v>0.31654009895737356</c:v>
                </c:pt>
                <c:pt idx="1">
                  <c:v>0.41889382626067528</c:v>
                </c:pt>
                <c:pt idx="2">
                  <c:v>0.52708634775405594</c:v>
                </c:pt>
                <c:pt idx="3">
                  <c:v>0.63330495921617325</c:v>
                </c:pt>
                <c:pt idx="4">
                  <c:v>0.73015811308604706</c:v>
                </c:pt>
                <c:pt idx="5">
                  <c:v>0.81218128277850488</c:v>
                </c:pt>
                <c:pt idx="6">
                  <c:v>0.87669747327054259</c:v>
                </c:pt>
                <c:pt idx="7">
                  <c:v>0.92382882708367087</c:v>
                </c:pt>
                <c:pt idx="8">
                  <c:v>0.95580744446811927</c:v>
                </c:pt>
                <c:pt idx="9">
                  <c:v>0.97595941180128787</c:v>
                </c:pt>
                <c:pt idx="10">
                  <c:v>0.9877539935077061</c:v>
                </c:pt>
                <c:pt idx="11">
                  <c:v>0.99416541285519333</c:v>
                </c:pt>
                <c:pt idx="12">
                  <c:v>0.9974023293203238</c:v>
                </c:pt>
                <c:pt idx="13">
                  <c:v>0.99892012562075394</c:v>
                </c:pt>
                <c:pt idx="14">
                  <c:v>0.99958112203407057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13F-C443-AA7F-E77DE1E5C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Spread Line</a:t>
                </a:r>
              </a:p>
            </c:rich>
          </c:tx>
          <c:overlay val="1"/>
        </c:title>
        <c:numFmt formatCode="0.00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Home Cover Probability</a:t>
                </a:r>
              </a:p>
            </c:rich>
          </c:tx>
          <c:overlay val="1"/>
        </c:title>
        <c:numFmt formatCode="0.00%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Over % by Total Line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SpreadTotal!$Q$10</c:f>
              <c:strCache>
                <c:ptCount val="1"/>
                <c:pt idx="0">
                  <c:v>Over 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SpreadTotal!$P$11:$P$25</c:f>
              <c:numCache>
                <c:formatCode>0.00</c:formatCode>
                <c:ptCount val="15"/>
                <c:pt idx="0">
                  <c:v>134.5</c:v>
                </c:pt>
                <c:pt idx="1">
                  <c:v>137.5</c:v>
                </c:pt>
                <c:pt idx="2">
                  <c:v>140.5</c:v>
                </c:pt>
                <c:pt idx="3">
                  <c:v>143.5</c:v>
                </c:pt>
                <c:pt idx="4">
                  <c:v>146.5</c:v>
                </c:pt>
                <c:pt idx="5">
                  <c:v>149.5</c:v>
                </c:pt>
                <c:pt idx="6">
                  <c:v>152.5</c:v>
                </c:pt>
                <c:pt idx="7">
                  <c:v>155.5</c:v>
                </c:pt>
                <c:pt idx="8">
                  <c:v>158.5</c:v>
                </c:pt>
                <c:pt idx="9">
                  <c:v>161.5</c:v>
                </c:pt>
                <c:pt idx="10">
                  <c:v>164.5</c:v>
                </c:pt>
                <c:pt idx="11">
                  <c:v>167.5</c:v>
                </c:pt>
                <c:pt idx="12">
                  <c:v>170.5</c:v>
                </c:pt>
                <c:pt idx="13">
                  <c:v>173.5</c:v>
                </c:pt>
                <c:pt idx="14">
                  <c:v>176.5</c:v>
                </c:pt>
              </c:numCache>
            </c:numRef>
          </c:cat>
          <c:val>
            <c:numRef>
              <c:f>SpreadTotal!$Q$11:$Q$25</c:f>
              <c:numCache>
                <c:formatCode>0.00%</c:formatCode>
                <c:ptCount val="15"/>
                <c:pt idx="0">
                  <c:v>0.91940257402252068</c:v>
                </c:pt>
                <c:pt idx="1">
                  <c:v>0.88416015023808414</c:v>
                </c:pt>
                <c:pt idx="2">
                  <c:v>0.83916261252131719</c:v>
                </c:pt>
                <c:pt idx="3">
                  <c:v>0.78406656494926741</c:v>
                </c:pt>
                <c:pt idx="4">
                  <c:v>0.7193730259690917</c:v>
                </c:pt>
                <c:pt idx="5">
                  <c:v>0.64652627513382999</c:v>
                </c:pt>
                <c:pt idx="6">
                  <c:v>0.5678636734315119</c:v>
                </c:pt>
                <c:pt idx="7">
                  <c:v>0.48640538300340186</c:v>
                </c:pt>
                <c:pt idx="8">
                  <c:v>0.40551234420862237</c:v>
                </c:pt>
                <c:pt idx="9">
                  <c:v>0.32847596162507542</c:v>
                </c:pt>
                <c:pt idx="10">
                  <c:v>0.2581218519643308</c:v>
                </c:pt>
                <c:pt idx="11">
                  <c:v>0.19650607971186074</c:v>
                </c:pt>
                <c:pt idx="12">
                  <c:v>0.1447569417487844</c:v>
                </c:pt>
                <c:pt idx="13">
                  <c:v>0.10307738461829408</c:v>
                </c:pt>
                <c:pt idx="14">
                  <c:v>7.0885102425204294E-2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5E0-BB4C-8F54-101771613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Line</a:t>
                </a:r>
              </a:p>
            </c:rich>
          </c:tx>
          <c:overlay val="1"/>
        </c:title>
        <c:numFmt formatCode="0.00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 Probability</a:t>
                </a:r>
              </a:p>
            </c:rich>
          </c:tx>
          <c:overlay val="1"/>
        </c:title>
        <c:numFmt formatCode="0.00%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kumimoji="0" lang="en-US" sz="1000" b="1" i="0" strike="noStrike" kern="1200" spc="0" normalizeH="0" baseline="0" noProof="0">
                <a:ln>
                  <a:noFill/>
                  <a:prstDash val="solid"/>
                </a:ln>
                <a:solidFill>
                  <a:sysClr val="windowText" lastClr="000000"/>
                </a:solidFill>
                <a:uLnTx/>
                <a:uFillTx/>
                <a:latin typeface="Calibri"/>
              </a:rPr>
              <a:t>Home Cover % by Spread Line</a:t>
            </a:r>
          </a:p>
        </c:rich>
      </c:tx>
      <c:overlay val="0"/>
    </c:title>
    <c:autoTitleDeleted val="0"/>
    <c:plotArea>
      <c:layout/>
      <c:lineChart>
        <c:grouping val="percentStacked"/>
        <c:varyColors val="0"/>
        <c:ser>
          <c:idx val="0"/>
          <c:order val="0"/>
          <c:tx>
            <c:strRef>
              <c:f>SpreadTotal!$K$10</c:f>
              <c:strCache>
                <c:ptCount val="1"/>
                <c:pt idx="0">
                  <c:v>Home Line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val>
            <c:numRef>
              <c:f>SpreadTotal!$K$11:$K$25</c:f>
              <c:numCache>
                <c:formatCode>0.00</c:formatCode>
                <c:ptCount val="15"/>
                <c:pt idx="0">
                  <c:v>-4.5</c:v>
                </c:pt>
                <c:pt idx="1">
                  <c:v>-1.5</c:v>
                </c:pt>
                <c:pt idx="2">
                  <c:v>1.5</c:v>
                </c:pt>
                <c:pt idx="3">
                  <c:v>4.5</c:v>
                </c:pt>
                <c:pt idx="4">
                  <c:v>7.5</c:v>
                </c:pt>
                <c:pt idx="5">
                  <c:v>10.5</c:v>
                </c:pt>
                <c:pt idx="6">
                  <c:v>13.5</c:v>
                </c:pt>
                <c:pt idx="7">
                  <c:v>16.5</c:v>
                </c:pt>
                <c:pt idx="8">
                  <c:v>19.5</c:v>
                </c:pt>
                <c:pt idx="9">
                  <c:v>22.5</c:v>
                </c:pt>
                <c:pt idx="10">
                  <c:v>25.5</c:v>
                </c:pt>
                <c:pt idx="11">
                  <c:v>28.5</c:v>
                </c:pt>
                <c:pt idx="12">
                  <c:v>31.5</c:v>
                </c:pt>
                <c:pt idx="13">
                  <c:v>34.5</c:v>
                </c:pt>
                <c:pt idx="14">
                  <c:v>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8-A343-A804-964F96CAD21C}"/>
            </c:ext>
          </c:extLst>
        </c:ser>
        <c:ser>
          <c:idx val="1"/>
          <c:order val="1"/>
          <c:tx>
            <c:strRef>
              <c:f>SpreadTotal!$L$10</c:f>
              <c:strCache>
                <c:ptCount val="1"/>
                <c:pt idx="0">
                  <c:v>Home Cover 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val>
            <c:numRef>
              <c:f>SpreadTotal!$L$11:$L$25</c:f>
              <c:numCache>
                <c:formatCode>0.00%</c:formatCode>
                <c:ptCount val="15"/>
                <c:pt idx="0">
                  <c:v>0.31654009895737356</c:v>
                </c:pt>
                <c:pt idx="1">
                  <c:v>0.41889382626067528</c:v>
                </c:pt>
                <c:pt idx="2">
                  <c:v>0.52708634775405594</c:v>
                </c:pt>
                <c:pt idx="3">
                  <c:v>0.63330495921617325</c:v>
                </c:pt>
                <c:pt idx="4">
                  <c:v>0.73015811308604706</c:v>
                </c:pt>
                <c:pt idx="5">
                  <c:v>0.81218128277850488</c:v>
                </c:pt>
                <c:pt idx="6">
                  <c:v>0.87669747327054259</c:v>
                </c:pt>
                <c:pt idx="7">
                  <c:v>0.92382882708367087</c:v>
                </c:pt>
                <c:pt idx="8">
                  <c:v>0.95580744446811927</c:v>
                </c:pt>
                <c:pt idx="9">
                  <c:v>0.97595941180128787</c:v>
                </c:pt>
                <c:pt idx="10">
                  <c:v>0.9877539935077061</c:v>
                </c:pt>
                <c:pt idx="11">
                  <c:v>0.99416541285519333</c:v>
                </c:pt>
                <c:pt idx="12">
                  <c:v>0.9974023293203238</c:v>
                </c:pt>
                <c:pt idx="13">
                  <c:v>0.99892012562075394</c:v>
                </c:pt>
                <c:pt idx="14">
                  <c:v>0.99958112203407057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8-A343-A804-964F96CAD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0997056"/>
        <c:axId val="1860998848"/>
      </c:lineChart>
      <c:catAx>
        <c:axId val="18609970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860998848"/>
        <c:crosses val="autoZero"/>
        <c:auto val="1"/>
        <c:lblAlgn val="ctr"/>
        <c:lblOffset val="100"/>
        <c:noMultiLvlLbl val="0"/>
      </c:catAx>
      <c:valAx>
        <c:axId val="18609988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86099705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Over % by Total Line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SpreadTotal!$Q$10</c:f>
              <c:strCache>
                <c:ptCount val="1"/>
                <c:pt idx="0">
                  <c:v>Over 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SpreadTotal!$P$11:$P$25</c:f>
              <c:numCache>
                <c:formatCode>0.00</c:formatCode>
                <c:ptCount val="15"/>
                <c:pt idx="0">
                  <c:v>134.5</c:v>
                </c:pt>
                <c:pt idx="1">
                  <c:v>137.5</c:v>
                </c:pt>
                <c:pt idx="2">
                  <c:v>140.5</c:v>
                </c:pt>
                <c:pt idx="3">
                  <c:v>143.5</c:v>
                </c:pt>
                <c:pt idx="4">
                  <c:v>146.5</c:v>
                </c:pt>
                <c:pt idx="5">
                  <c:v>149.5</c:v>
                </c:pt>
                <c:pt idx="6">
                  <c:v>152.5</c:v>
                </c:pt>
                <c:pt idx="7">
                  <c:v>155.5</c:v>
                </c:pt>
                <c:pt idx="8">
                  <c:v>158.5</c:v>
                </c:pt>
                <c:pt idx="9">
                  <c:v>161.5</c:v>
                </c:pt>
                <c:pt idx="10">
                  <c:v>164.5</c:v>
                </c:pt>
                <c:pt idx="11">
                  <c:v>167.5</c:v>
                </c:pt>
                <c:pt idx="12">
                  <c:v>170.5</c:v>
                </c:pt>
                <c:pt idx="13">
                  <c:v>173.5</c:v>
                </c:pt>
                <c:pt idx="14">
                  <c:v>176.5</c:v>
                </c:pt>
              </c:numCache>
            </c:numRef>
          </c:cat>
          <c:val>
            <c:numRef>
              <c:f>SpreadTotal!$Q$11:$Q$25</c:f>
              <c:numCache>
                <c:formatCode>0.00%</c:formatCode>
                <c:ptCount val="15"/>
                <c:pt idx="0">
                  <c:v>0.91940257402252068</c:v>
                </c:pt>
                <c:pt idx="1">
                  <c:v>0.88416015023808414</c:v>
                </c:pt>
                <c:pt idx="2">
                  <c:v>0.83916261252131719</c:v>
                </c:pt>
                <c:pt idx="3">
                  <c:v>0.78406656494926741</c:v>
                </c:pt>
                <c:pt idx="4">
                  <c:v>0.7193730259690917</c:v>
                </c:pt>
                <c:pt idx="5">
                  <c:v>0.64652627513382999</c:v>
                </c:pt>
                <c:pt idx="6">
                  <c:v>0.5678636734315119</c:v>
                </c:pt>
                <c:pt idx="7">
                  <c:v>0.48640538300340186</c:v>
                </c:pt>
                <c:pt idx="8">
                  <c:v>0.40551234420862237</c:v>
                </c:pt>
                <c:pt idx="9">
                  <c:v>0.32847596162507542</c:v>
                </c:pt>
                <c:pt idx="10">
                  <c:v>0.2581218519643308</c:v>
                </c:pt>
                <c:pt idx="11">
                  <c:v>0.19650607971186074</c:v>
                </c:pt>
                <c:pt idx="12">
                  <c:v>0.1447569417487844</c:v>
                </c:pt>
                <c:pt idx="13">
                  <c:v>0.10307738461829408</c:v>
                </c:pt>
                <c:pt idx="14">
                  <c:v>7.0885102425204294E-2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EB6-9A4B-915B-CC2ECB6AF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Line</a:t>
                </a:r>
              </a:p>
            </c:rich>
          </c:tx>
          <c:overlay val="1"/>
        </c:title>
        <c:numFmt formatCode="0.00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 Probability</a:t>
                </a:r>
              </a:p>
            </c:rich>
          </c:tx>
          <c:overlay val="1"/>
        </c:title>
        <c:numFmt formatCode="0.00%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9</xdr:row>
      <xdr:rowOff>0</xdr:rowOff>
    </xdr:from>
    <xdr:ext cx="396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26</xdr:row>
      <xdr:rowOff>0</xdr:rowOff>
    </xdr:from>
    <xdr:ext cx="396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406400</xdr:colOff>
      <xdr:row>27</xdr:row>
      <xdr:rowOff>12700</xdr:rowOff>
    </xdr:from>
    <xdr:ext cx="396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20</xdr:col>
      <xdr:colOff>0</xdr:colOff>
      <xdr:row>24</xdr:row>
      <xdr:rowOff>0</xdr:rowOff>
    </xdr:from>
    <xdr:ext cx="396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77B943-30C9-224F-893F-A764BEA452B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8"/>
  <sheetViews>
    <sheetView showGridLines="0" workbookViewId="0"/>
  </sheetViews>
  <sheetFormatPr baseColWidth="10" defaultColWidth="8.83203125" defaultRowHeight="15" x14ac:dyDescent="0.2"/>
  <cols>
    <col min="1" max="1" width="70" customWidth="1"/>
  </cols>
  <sheetData>
    <row r="1" spans="1:1" ht="19" customHeight="1" x14ac:dyDescent="0.25">
      <c r="A1" s="9" t="s">
        <v>728</v>
      </c>
    </row>
    <row r="3" spans="1:1" x14ac:dyDescent="0.2">
      <c r="A3" s="10" t="s">
        <v>729</v>
      </c>
    </row>
    <row r="4" spans="1:1" x14ac:dyDescent="0.2">
      <c r="A4" s="10" t="s">
        <v>730</v>
      </c>
    </row>
    <row r="5" spans="1:1" x14ac:dyDescent="0.2">
      <c r="A5" s="10" t="s">
        <v>731</v>
      </c>
    </row>
    <row r="6" spans="1:1" x14ac:dyDescent="0.2">
      <c r="A6" s="10" t="s">
        <v>732</v>
      </c>
    </row>
    <row r="8" spans="1:1" x14ac:dyDescent="0.2">
      <c r="A8" s="10" t="s">
        <v>733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20"/>
  <sheetViews>
    <sheetView showGridLines="0" workbookViewId="0">
      <pane ySplit="3" topLeftCell="A4" activePane="bottomLeft" state="frozen"/>
      <selection pane="bottomLeft" activeCell="A14" sqref="A14"/>
    </sheetView>
  </sheetViews>
  <sheetFormatPr baseColWidth="10" defaultColWidth="8.83203125" defaultRowHeight="15" x14ac:dyDescent="0.2"/>
  <cols>
    <col min="1" max="1" width="18" customWidth="1"/>
    <col min="2" max="2" width="20.5" customWidth="1"/>
    <col min="3" max="3" width="11.33203125" bestFit="1" customWidth="1"/>
    <col min="4" max="5" width="18" customWidth="1"/>
    <col min="7" max="8" width="18" customWidth="1"/>
    <col min="10" max="11" width="16" customWidth="1"/>
    <col min="13" max="13" width="16" customWidth="1"/>
    <col min="14" max="16" width="24" customWidth="1"/>
  </cols>
  <sheetData>
    <row r="1" spans="1:13" ht="21" customHeight="1" x14ac:dyDescent="0.25">
      <c r="A1" s="41" t="s">
        <v>734</v>
      </c>
      <c r="B1" s="42"/>
      <c r="C1" s="42"/>
      <c r="D1" s="42"/>
      <c r="E1" s="42"/>
      <c r="F1" s="42"/>
      <c r="G1" s="42"/>
      <c r="H1" s="42"/>
      <c r="I1" s="42"/>
      <c r="J1" s="42"/>
      <c r="K1" s="43"/>
    </row>
    <row r="2" spans="1:13" x14ac:dyDescent="0.2">
      <c r="A2" s="13" t="s">
        <v>735</v>
      </c>
      <c r="B2" s="14" t="str">
        <f>Inputs!$B$5&amp;" @ "&amp;Inputs!$B$4</f>
        <v>Michigan @ Purdue</v>
      </c>
      <c r="D2" s="13" t="s">
        <v>736</v>
      </c>
      <c r="E2" s="15">
        <f>GamePick_ModeA!$B$2</f>
        <v>1</v>
      </c>
      <c r="M2" s="16" t="s">
        <v>737</v>
      </c>
    </row>
    <row r="3" spans="1:13" x14ac:dyDescent="0.2">
      <c r="M3" s="10" t="s">
        <v>738</v>
      </c>
    </row>
    <row r="4" spans="1:13" x14ac:dyDescent="0.2">
      <c r="A4" s="17" t="s">
        <v>739</v>
      </c>
      <c r="B4" s="18">
        <f>INDEX(MarketMaker_Board!$F:$F,$E$2+1)</f>
        <v>5.5</v>
      </c>
      <c r="D4" s="17" t="s">
        <v>740</v>
      </c>
      <c r="E4" s="18">
        <f>Inputs!$B$19</f>
        <v>149.5</v>
      </c>
      <c r="G4" s="17" t="s">
        <v>741</v>
      </c>
      <c r="H4" s="19">
        <f>Inputs!$B$20</f>
        <v>0.47273828857911138</v>
      </c>
      <c r="J4" s="20" t="s">
        <v>742</v>
      </c>
      <c r="K4" s="15">
        <f>Inputs!$B$26</f>
        <v>111.5335322225868</v>
      </c>
      <c r="M4" s="10" t="s">
        <v>743</v>
      </c>
    </row>
    <row r="5" spans="1:13" x14ac:dyDescent="0.2">
      <c r="A5" s="17" t="s">
        <v>744</v>
      </c>
      <c r="B5" s="18">
        <f>INDEX(MarketMaker_Board!$G:$G,$E$2+1)</f>
        <v>-0.75242376015759604</v>
      </c>
      <c r="D5" s="17" t="s">
        <v>745</v>
      </c>
      <c r="E5" s="18">
        <f>Inputs!$B$15</f>
        <v>155.00127201797486</v>
      </c>
      <c r="G5" s="17" t="s">
        <v>746</v>
      </c>
      <c r="H5" s="19">
        <f>Inputs!$B$21</f>
        <v>0.66695122857002942</v>
      </c>
      <c r="J5" s="20" t="s">
        <v>747</v>
      </c>
      <c r="K5" s="15">
        <f>Inputs!$B$28</f>
        <v>-200.25632453361797</v>
      </c>
      <c r="M5" s="10" t="s">
        <v>748</v>
      </c>
    </row>
    <row r="6" spans="1:13" x14ac:dyDescent="0.2">
      <c r="A6" s="17" t="s">
        <v>749</v>
      </c>
      <c r="B6" s="18">
        <f>INDEX(MarketMaker_Board!$H:$H,$E$2+1)</f>
        <v>4.7475762398424042</v>
      </c>
      <c r="D6" s="17" t="s">
        <v>750</v>
      </c>
      <c r="E6" s="18">
        <f>Inputs!$B$24</f>
        <v>5.5012720179748555</v>
      </c>
      <c r="G6" s="17" t="s">
        <v>751</v>
      </c>
      <c r="H6" s="19">
        <f>Inputs!$B$22</f>
        <v>0.64652627513382999</v>
      </c>
      <c r="J6" s="20" t="s">
        <v>752</v>
      </c>
      <c r="K6" s="15">
        <f>Inputs!$B$30</f>
        <v>-182.90645942031861</v>
      </c>
    </row>
    <row r="9" spans="1:13" x14ac:dyDescent="0.2">
      <c r="A9" s="44" t="s">
        <v>753</v>
      </c>
      <c r="B9" s="42"/>
      <c r="C9" s="42"/>
      <c r="D9" s="42"/>
      <c r="E9" s="42"/>
      <c r="F9" s="42"/>
      <c r="G9" s="42"/>
      <c r="H9" s="42"/>
      <c r="I9" s="42"/>
      <c r="J9" s="42"/>
      <c r="K9" s="43"/>
    </row>
    <row r="10" spans="1:13" x14ac:dyDescent="0.2">
      <c r="A10" s="17" t="s">
        <v>754</v>
      </c>
      <c r="B10" s="17" t="s">
        <v>755</v>
      </c>
      <c r="C10" s="17" t="s">
        <v>756</v>
      </c>
      <c r="D10" s="33" t="s">
        <v>757</v>
      </c>
      <c r="E10" s="33" t="s">
        <v>758</v>
      </c>
      <c r="F10" s="33" t="s">
        <v>759</v>
      </c>
      <c r="G10" s="33" t="s">
        <v>740</v>
      </c>
      <c r="H10" s="33" t="s">
        <v>745</v>
      </c>
      <c r="I10" s="17" t="s">
        <v>759</v>
      </c>
      <c r="J10" s="17" t="s">
        <v>760</v>
      </c>
      <c r="K10" s="17" t="s">
        <v>761</v>
      </c>
    </row>
    <row r="11" spans="1:13" x14ac:dyDescent="0.2">
      <c r="A11" s="21">
        <f>MarketMaker_Board!A2</f>
        <v>1</v>
      </c>
      <c r="B11" s="21" t="str">
        <f>MarketMaker_Board!C2</f>
        <v>Michigan</v>
      </c>
      <c r="C11" s="21" t="str">
        <f>MarketMaker_Board!D2</f>
        <v>Purdue</v>
      </c>
      <c r="D11" s="22">
        <f>MarketMaker_Board!F2</f>
        <v>5.5</v>
      </c>
      <c r="E11" s="22">
        <f>MarketMaker_Board!G2</f>
        <v>-0.75242376015759604</v>
      </c>
      <c r="F11" s="22">
        <f>MarketMaker_Board!H2</f>
        <v>4.7475762398424042</v>
      </c>
      <c r="G11" s="22">
        <f>MarketMaker_Board!I2</f>
        <v>149.5</v>
      </c>
      <c r="H11" s="22">
        <f>MarketMaker_Board!J2</f>
        <v>155.00127201797486</v>
      </c>
      <c r="I11" s="22">
        <f>MarketMaker_Board!K2</f>
        <v>5.5012720179748555</v>
      </c>
      <c r="J11" s="23">
        <f>MarketMaker_Board!M2</f>
        <v>0.66695122857002942</v>
      </c>
      <c r="K11" s="23">
        <f>MarketMaker_Board!N2</f>
        <v>0.64652627513382999</v>
      </c>
    </row>
    <row r="12" spans="1:13" x14ac:dyDescent="0.2">
      <c r="A12" s="21">
        <f>MarketMaker_Board!A3</f>
        <v>2</v>
      </c>
      <c r="B12" s="21" t="str">
        <f>MarketMaker_Board!C3</f>
        <v>Dayton</v>
      </c>
      <c r="C12" s="21" t="str">
        <f>MarketMaker_Board!D3</f>
        <v>VCU</v>
      </c>
      <c r="D12" s="22">
        <f>MarketMaker_Board!F3</f>
        <v>-12.5</v>
      </c>
      <c r="E12" s="22">
        <f>MarketMaker_Board!G3</f>
        <v>4.4834570623862273</v>
      </c>
      <c r="F12" s="22">
        <f>MarketMaker_Board!H3</f>
        <v>-8.0165429376137727</v>
      </c>
      <c r="G12" s="22">
        <f>MarketMaker_Board!I3</f>
        <v>137.5</v>
      </c>
      <c r="H12" s="22">
        <f>MarketMaker_Board!J3</f>
        <v>148.89154384602838</v>
      </c>
      <c r="I12" s="22">
        <f>MarketMaker_Board!K3</f>
        <v>11.391543846028384</v>
      </c>
      <c r="J12" s="23">
        <f>MarketMaker_Board!M3</f>
        <v>0.23313319294154045</v>
      </c>
      <c r="K12" s="23">
        <f>MarketMaker_Board!N3</f>
        <v>0.7816583550119458</v>
      </c>
    </row>
    <row r="13" spans="1:13" x14ac:dyDescent="0.2">
      <c r="A13" s="21">
        <f>MarketMaker_Board!A4</f>
        <v>3</v>
      </c>
      <c r="B13" s="21" t="str">
        <f>MarketMaker_Board!C4</f>
        <v>Arkansas</v>
      </c>
      <c r="C13" s="21" t="str">
        <f>MarketMaker_Board!D4</f>
        <v>Vanderbilt</v>
      </c>
      <c r="D13" s="22">
        <f>MarketMaker_Board!F4</f>
        <v>0.5</v>
      </c>
      <c r="E13" s="22">
        <f>MarketMaker_Board!G4</f>
        <v>2.1190240325756391</v>
      </c>
      <c r="F13" s="22">
        <f>MarketMaker_Board!H4</f>
        <v>2.6190240325756391</v>
      </c>
      <c r="G13" s="22">
        <f>MarketMaker_Board!I4</f>
        <v>167.5</v>
      </c>
      <c r="H13" s="22">
        <f>MarketMaker_Board!J4</f>
        <v>160.68555231819681</v>
      </c>
      <c r="I13" s="22">
        <f>MarketMaker_Board!K4</f>
        <v>-6.8144476818031876</v>
      </c>
      <c r="J13" s="23">
        <f>MarketMaker_Board!M4</f>
        <v>0.59409555448241425</v>
      </c>
      <c r="K13" s="23">
        <f>MarketMaker_Board!N4</f>
        <v>0.32614224333124198</v>
      </c>
    </row>
    <row r="14" spans="1:13" x14ac:dyDescent="0.2">
      <c r="A14" s="21">
        <f>MarketMaker_Board!A5</f>
        <v>4</v>
      </c>
      <c r="B14" s="21" t="str">
        <f>MarketMaker_Board!C5</f>
        <v>South Florida</v>
      </c>
      <c r="C14" s="21" t="str">
        <f>MarketMaker_Board!D5</f>
        <v>Wichita St.</v>
      </c>
      <c r="D14" s="22">
        <f>MarketMaker_Board!F5</f>
        <v>6</v>
      </c>
      <c r="E14" s="22">
        <f>MarketMaker_Board!G5</f>
        <v>-8.0655131325782115E-2</v>
      </c>
      <c r="F14" s="22">
        <f>MarketMaker_Board!H5</f>
        <v>5.9193448686742176</v>
      </c>
      <c r="G14" s="22">
        <f>MarketMaker_Board!I5</f>
        <v>150.5</v>
      </c>
      <c r="H14" s="22">
        <f>MarketMaker_Board!J5</f>
        <v>150.73030455088511</v>
      </c>
      <c r="I14" s="22">
        <f>MarketMaker_Board!K5</f>
        <v>0.23030455088510848</v>
      </c>
      <c r="J14" s="23">
        <f>MarketMaker_Board!M5</f>
        <v>0.70475367750724494</v>
      </c>
      <c r="K14" s="23">
        <f>MarketMaker_Board!N5</f>
        <v>0.50620171058664432</v>
      </c>
    </row>
    <row r="15" spans="1:13" x14ac:dyDescent="0.2">
      <c r="A15" s="21">
        <f>MarketMaker_Board!A6</f>
        <v>5</v>
      </c>
      <c r="B15" s="21">
        <f>MarketMaker_Board!C6</f>
        <v>0</v>
      </c>
      <c r="C15" s="21">
        <f>MarketMaker_Board!D6</f>
        <v>0</v>
      </c>
      <c r="D15" s="22">
        <f>MarketMaker_Board!F6</f>
        <v>0</v>
      </c>
      <c r="E15" s="22" t="str">
        <f>MarketMaker_Board!G6</f>
        <v/>
      </c>
      <c r="F15" s="22" t="str">
        <f>MarketMaker_Board!H6</f>
        <v/>
      </c>
      <c r="G15" s="22">
        <f>MarketMaker_Board!I6</f>
        <v>0</v>
      </c>
      <c r="H15" s="22" t="str">
        <f>MarketMaker_Board!J6</f>
        <v/>
      </c>
      <c r="I15" s="22" t="str">
        <f>MarketMaker_Board!K6</f>
        <v/>
      </c>
      <c r="J15" s="23" t="str">
        <f>MarketMaker_Board!M6</f>
        <v/>
      </c>
      <c r="K15" s="23" t="str">
        <f>MarketMaker_Board!N6</f>
        <v/>
      </c>
    </row>
    <row r="16" spans="1:13" x14ac:dyDescent="0.2">
      <c r="A16" s="21">
        <f>MarketMaker_Board!A7</f>
        <v>6</v>
      </c>
      <c r="B16" s="21">
        <f>MarketMaker_Board!C7</f>
        <v>0</v>
      </c>
      <c r="C16" s="21">
        <f>MarketMaker_Board!D7</f>
        <v>0</v>
      </c>
      <c r="D16" s="22">
        <f>MarketMaker_Board!F7</f>
        <v>0</v>
      </c>
      <c r="E16" s="22" t="str">
        <f>MarketMaker_Board!G7</f>
        <v/>
      </c>
      <c r="F16" s="22" t="str">
        <f>MarketMaker_Board!H7</f>
        <v/>
      </c>
      <c r="G16" s="22">
        <f>MarketMaker_Board!I7</f>
        <v>0</v>
      </c>
      <c r="H16" s="22" t="str">
        <f>MarketMaker_Board!J7</f>
        <v/>
      </c>
      <c r="I16" s="22" t="str">
        <f>MarketMaker_Board!K7</f>
        <v/>
      </c>
      <c r="J16" s="23" t="str">
        <f>MarketMaker_Board!M7</f>
        <v/>
      </c>
      <c r="K16" s="23" t="str">
        <f>MarketMaker_Board!N7</f>
        <v/>
      </c>
    </row>
    <row r="17" spans="1:11" x14ac:dyDescent="0.2">
      <c r="A17" s="21">
        <f>MarketMaker_Board!A8</f>
        <v>7</v>
      </c>
      <c r="B17" s="21">
        <f>MarketMaker_Board!C8</f>
        <v>0</v>
      </c>
      <c r="C17" s="21">
        <f>MarketMaker_Board!D8</f>
        <v>0</v>
      </c>
      <c r="D17" s="22">
        <f>MarketMaker_Board!F8</f>
        <v>0</v>
      </c>
      <c r="E17" s="22" t="str">
        <f>MarketMaker_Board!G8</f>
        <v/>
      </c>
      <c r="F17" s="22" t="str">
        <f>MarketMaker_Board!H8</f>
        <v/>
      </c>
      <c r="G17" s="22">
        <f>MarketMaker_Board!I8</f>
        <v>0</v>
      </c>
      <c r="H17" s="22" t="str">
        <f>MarketMaker_Board!J8</f>
        <v/>
      </c>
      <c r="I17" s="22" t="str">
        <f>MarketMaker_Board!K8</f>
        <v/>
      </c>
      <c r="J17" s="23" t="str">
        <f>MarketMaker_Board!M8</f>
        <v/>
      </c>
      <c r="K17" s="23" t="str">
        <f>MarketMaker_Board!N8</f>
        <v/>
      </c>
    </row>
    <row r="18" spans="1:11" x14ac:dyDescent="0.2">
      <c r="A18" s="21">
        <f>MarketMaker_Board!A9</f>
        <v>8</v>
      </c>
      <c r="B18" s="21">
        <f>MarketMaker_Board!C9</f>
        <v>0</v>
      </c>
      <c r="C18" s="21">
        <f>MarketMaker_Board!D9</f>
        <v>0</v>
      </c>
      <c r="D18" s="22">
        <f>MarketMaker_Board!F9</f>
        <v>0</v>
      </c>
      <c r="E18" s="22" t="str">
        <f>MarketMaker_Board!G9</f>
        <v/>
      </c>
      <c r="F18" s="22" t="str">
        <f>MarketMaker_Board!H9</f>
        <v/>
      </c>
      <c r="G18" s="22">
        <f>MarketMaker_Board!I9</f>
        <v>0</v>
      </c>
      <c r="H18" s="22" t="str">
        <f>MarketMaker_Board!J9</f>
        <v/>
      </c>
      <c r="I18" s="22" t="str">
        <f>MarketMaker_Board!K9</f>
        <v/>
      </c>
      <c r="J18" s="23" t="str">
        <f>MarketMaker_Board!M9</f>
        <v/>
      </c>
      <c r="K18" s="23" t="str">
        <f>MarketMaker_Board!N9</f>
        <v/>
      </c>
    </row>
    <row r="19" spans="1:11" x14ac:dyDescent="0.2">
      <c r="A19" s="21">
        <f>MarketMaker_Board!A10</f>
        <v>9</v>
      </c>
      <c r="B19" s="21">
        <f>MarketMaker_Board!C10</f>
        <v>0</v>
      </c>
      <c r="C19" s="21">
        <f>MarketMaker_Board!D10</f>
        <v>0</v>
      </c>
      <c r="D19" s="22">
        <f>MarketMaker_Board!F10</f>
        <v>0</v>
      </c>
      <c r="E19" s="22" t="str">
        <f>MarketMaker_Board!G10</f>
        <v/>
      </c>
      <c r="F19" s="22" t="str">
        <f>MarketMaker_Board!H10</f>
        <v/>
      </c>
      <c r="G19" s="22">
        <f>MarketMaker_Board!I10</f>
        <v>0</v>
      </c>
      <c r="H19" s="22" t="str">
        <f>MarketMaker_Board!J10</f>
        <v/>
      </c>
      <c r="I19" s="22" t="str">
        <f>MarketMaker_Board!K10</f>
        <v/>
      </c>
      <c r="J19" s="23" t="str">
        <f>MarketMaker_Board!M10</f>
        <v/>
      </c>
      <c r="K19" s="23" t="str">
        <f>MarketMaker_Board!N10</f>
        <v/>
      </c>
    </row>
    <row r="20" spans="1:11" x14ac:dyDescent="0.2">
      <c r="A20" s="21">
        <f>MarketMaker_Board!A11</f>
        <v>10</v>
      </c>
      <c r="B20" s="21">
        <f>MarketMaker_Board!C11</f>
        <v>0</v>
      </c>
      <c r="C20" s="21">
        <f>MarketMaker_Board!D11</f>
        <v>0</v>
      </c>
      <c r="D20" s="22">
        <f>MarketMaker_Board!F11</f>
        <v>0</v>
      </c>
      <c r="E20" s="22" t="str">
        <f>MarketMaker_Board!G11</f>
        <v/>
      </c>
      <c r="F20" s="22" t="str">
        <f>MarketMaker_Board!H11</f>
        <v/>
      </c>
      <c r="G20" s="22">
        <f>MarketMaker_Board!I11</f>
        <v>0</v>
      </c>
      <c r="H20" s="22" t="str">
        <f>MarketMaker_Board!J11</f>
        <v/>
      </c>
      <c r="I20" s="22" t="str">
        <f>MarketMaker_Board!K11</f>
        <v/>
      </c>
      <c r="J20" s="23" t="str">
        <f>MarketMaker_Board!M11</f>
        <v/>
      </c>
      <c r="K20" s="23" t="str">
        <f>MarketMaker_Board!N11</f>
        <v/>
      </c>
    </row>
  </sheetData>
  <mergeCells count="2">
    <mergeCell ref="A1:K1"/>
    <mergeCell ref="A9:K9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7"/>
  <sheetViews>
    <sheetView showGridLines="0" zoomScale="170" zoomScaleNormal="170" workbookViewId="0">
      <pane ySplit="1" topLeftCell="A2" activePane="bottomLeft" state="frozen"/>
      <selection pane="bottomLeft" activeCell="B10" sqref="B10"/>
    </sheetView>
  </sheetViews>
  <sheetFormatPr baseColWidth="10" defaultColWidth="8.83203125" defaultRowHeight="15" x14ac:dyDescent="0.2"/>
  <cols>
    <col min="1" max="2" width="22" customWidth="1"/>
  </cols>
  <sheetData>
    <row r="1" spans="1:2" ht="19" customHeight="1" x14ac:dyDescent="0.25">
      <c r="A1" s="45" t="s">
        <v>762</v>
      </c>
      <c r="B1" s="43"/>
    </row>
    <row r="2" spans="1:2" x14ac:dyDescent="0.2">
      <c r="A2" s="24" t="s">
        <v>763</v>
      </c>
      <c r="B2" s="25">
        <v>1</v>
      </c>
    </row>
    <row r="4" spans="1:2" x14ac:dyDescent="0.2">
      <c r="A4" s="17" t="s">
        <v>764</v>
      </c>
      <c r="B4" s="26" t="str">
        <f>INDEX(GameInputs!$A:$A,$B$2+1)</f>
        <v>2026-03-15</v>
      </c>
    </row>
    <row r="5" spans="1:2" x14ac:dyDescent="0.2">
      <c r="A5" s="17" t="s">
        <v>765</v>
      </c>
      <c r="B5" s="26" t="str">
        <f>INDEX(GameInputs!$B:$B,$B$2+1)</f>
        <v>Purdue</v>
      </c>
    </row>
    <row r="6" spans="1:2" x14ac:dyDescent="0.2">
      <c r="A6" s="17" t="s">
        <v>766</v>
      </c>
      <c r="B6" s="26" t="str">
        <f>INDEX(GameInputs!$C:$C,$B$2+1)</f>
        <v>Michigan</v>
      </c>
    </row>
    <row r="7" spans="1:2" x14ac:dyDescent="0.2">
      <c r="A7" s="17" t="s">
        <v>767</v>
      </c>
      <c r="B7" s="26" t="str">
        <f>INDEX(GameInputs!$D:$D,$B$2+1)</f>
        <v>H</v>
      </c>
    </row>
    <row r="8" spans="1:2" x14ac:dyDescent="0.2">
      <c r="A8" s="17" t="s">
        <v>768</v>
      </c>
      <c r="B8" s="26">
        <f>INDEX(GameInputs!$E:$E,$B$2+1)</f>
        <v>5.5</v>
      </c>
    </row>
    <row r="9" spans="1:2" x14ac:dyDescent="0.2">
      <c r="A9" s="17" t="s">
        <v>740</v>
      </c>
      <c r="B9" s="26">
        <f>INDEX(GameInputs!$F:$F,$B$2+1)</f>
        <v>149.5</v>
      </c>
    </row>
    <row r="10" spans="1:2" x14ac:dyDescent="0.2">
      <c r="A10" s="17" t="s">
        <v>769</v>
      </c>
      <c r="B10" s="26">
        <f>INDEX(GameInputs!$G:$G,$B$2+1)</f>
        <v>1.11889811626495E-2</v>
      </c>
    </row>
    <row r="11" spans="1:2" x14ac:dyDescent="0.2">
      <c r="A11" s="17" t="s">
        <v>770</v>
      </c>
      <c r="B11" s="26">
        <f>INDEX(GameInputs!$H:$H,$B$2+1)</f>
        <v>0</v>
      </c>
    </row>
    <row r="13" spans="1:2" x14ac:dyDescent="0.2">
      <c r="A13" s="17" t="s">
        <v>771</v>
      </c>
      <c r="B13" s="26" t="s">
        <v>772</v>
      </c>
    </row>
    <row r="15" spans="1:2" x14ac:dyDescent="0.2">
      <c r="A15" s="16" t="s">
        <v>773</v>
      </c>
    </row>
    <row r="16" spans="1:2" x14ac:dyDescent="0.2">
      <c r="A16" t="s">
        <v>774</v>
      </c>
    </row>
    <row r="17" spans="1:1" x14ac:dyDescent="0.2">
      <c r="A17" t="s">
        <v>775</v>
      </c>
    </row>
  </sheetData>
  <mergeCells count="1">
    <mergeCell ref="A1:B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62"/>
  <sheetViews>
    <sheetView showGridLines="0" workbookViewId="0">
      <pane ySplit="9" topLeftCell="A10" activePane="bottomLeft" state="frozen"/>
      <selection pane="bottomLeft" activeCell="A11" sqref="A11"/>
    </sheetView>
  </sheetViews>
  <sheetFormatPr baseColWidth="10" defaultColWidth="8.83203125" defaultRowHeight="15" x14ac:dyDescent="0.2"/>
  <cols>
    <col min="1" max="4" width="12" customWidth="1"/>
    <col min="6" max="9" width="12" customWidth="1"/>
    <col min="11" max="14" width="12" customWidth="1"/>
    <col min="16" max="19" width="12" customWidth="1"/>
    <col min="21" max="24" width="24" customWidth="1"/>
  </cols>
  <sheetData>
    <row r="1" spans="1:22" ht="19" customHeight="1" x14ac:dyDescent="0.25">
      <c r="A1" s="45" t="s">
        <v>776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3"/>
    </row>
    <row r="3" spans="1:22" x14ac:dyDescent="0.2">
      <c r="A3" s="17" t="s">
        <v>765</v>
      </c>
      <c r="B3" s="14" t="str">
        <f>Inputs!$B$4</f>
        <v>Purdue</v>
      </c>
      <c r="D3" s="17" t="s">
        <v>741</v>
      </c>
      <c r="E3" s="19">
        <f>Inputs!$B$20</f>
        <v>0.47273828857911138</v>
      </c>
      <c r="G3" s="17" t="s">
        <v>777</v>
      </c>
      <c r="H3" s="18">
        <f>Inputs!$B$25</f>
        <v>2.1153353222258682</v>
      </c>
      <c r="J3" s="16" t="s">
        <v>778</v>
      </c>
      <c r="U3" s="11" t="s">
        <v>779</v>
      </c>
    </row>
    <row r="4" spans="1:22" x14ac:dyDescent="0.2">
      <c r="A4" s="17" t="s">
        <v>766</v>
      </c>
      <c r="B4" s="14" t="str">
        <f>Inputs!$B$5</f>
        <v>Michigan</v>
      </c>
      <c r="D4" s="17" t="s">
        <v>746</v>
      </c>
      <c r="E4" s="19">
        <f>Inputs!$B$21</f>
        <v>0.66695122857002942</v>
      </c>
      <c r="G4" s="17" t="s">
        <v>742</v>
      </c>
      <c r="H4" s="18">
        <f>Inputs!$B$26</f>
        <v>111.5335322225868</v>
      </c>
      <c r="J4" s="10" t="s">
        <v>780</v>
      </c>
      <c r="U4" s="12" t="s">
        <v>781</v>
      </c>
      <c r="V4" s="3">
        <f>INDEX(MarketMaker_Board!$F:$F,GamePick_ModeA!$B$2+1)</f>
        <v>5.5</v>
      </c>
    </row>
    <row r="5" spans="1:22" x14ac:dyDescent="0.2">
      <c r="A5" s="17" t="s">
        <v>739</v>
      </c>
      <c r="B5" s="18">
        <f>Inputs!$B$18</f>
        <v>5.5</v>
      </c>
      <c r="D5" s="17" t="s">
        <v>751</v>
      </c>
      <c r="E5" s="18">
        <f>Inputs!$B$22</f>
        <v>0.64652627513382999</v>
      </c>
      <c r="G5" s="17" t="s">
        <v>782</v>
      </c>
      <c r="H5" s="18">
        <f>Inputs!$B$27</f>
        <v>1.4993600088930652</v>
      </c>
      <c r="J5" s="10" t="s">
        <v>783</v>
      </c>
      <c r="U5" s="12" t="s">
        <v>784</v>
      </c>
      <c r="V5" s="3">
        <f>INDEX(MarketMaker_Board!$G:$G,GamePick_ModeA!$B$2+1)</f>
        <v>-0.75242376015759604</v>
      </c>
    </row>
    <row r="6" spans="1:22" x14ac:dyDescent="0.2">
      <c r="A6" s="17" t="s">
        <v>744</v>
      </c>
      <c r="B6" s="18">
        <f>ROUND(-Inputs!$B$14*2,0)/2</f>
        <v>1</v>
      </c>
      <c r="D6" s="17" t="s">
        <v>785</v>
      </c>
      <c r="E6" s="18">
        <f>Inputs!$B$23</f>
        <v>4.7475762398424024</v>
      </c>
      <c r="G6" s="17" t="s">
        <v>747</v>
      </c>
      <c r="H6" s="18">
        <f>Inputs!$B$28</f>
        <v>-200.25632453361797</v>
      </c>
      <c r="J6" s="10" t="s">
        <v>786</v>
      </c>
      <c r="U6" s="12" t="s">
        <v>787</v>
      </c>
      <c r="V6" s="4">
        <f>INDEX(MarketMaker_Board!$M:$M,GamePick_ModeA!$B$2+1)</f>
        <v>0.66695122857002942</v>
      </c>
    </row>
    <row r="7" spans="1:22" x14ac:dyDescent="0.2">
      <c r="A7" s="17" t="s">
        <v>740</v>
      </c>
      <c r="B7" s="18">
        <f>Inputs!$B$19</f>
        <v>149.5</v>
      </c>
      <c r="D7" s="17" t="s">
        <v>750</v>
      </c>
      <c r="E7" s="18">
        <f>Inputs!$B$24</f>
        <v>5.5012720179748555</v>
      </c>
      <c r="G7" s="17" t="s">
        <v>788</v>
      </c>
      <c r="H7" s="18">
        <f>Inputs!$B$29</f>
        <v>1.5467275476050861</v>
      </c>
      <c r="J7" s="10" t="s">
        <v>789</v>
      </c>
    </row>
    <row r="8" spans="1:22" x14ac:dyDescent="0.2">
      <c r="A8" s="17" t="s">
        <v>745</v>
      </c>
      <c r="B8" s="18">
        <f>Inputs!$B$15</f>
        <v>155.00127201797486</v>
      </c>
      <c r="D8" s="17" t="s">
        <v>790</v>
      </c>
      <c r="E8" s="19">
        <f>MIN(1,(ABS(Inputs!$B$23)/3)+(ABS(Inputs!$B$24)/8))</f>
        <v>1</v>
      </c>
      <c r="G8" s="17" t="s">
        <v>752</v>
      </c>
      <c r="H8" s="18">
        <f>Inputs!$B$30</f>
        <v>-182.90645942031861</v>
      </c>
    </row>
    <row r="10" spans="1:22" x14ac:dyDescent="0.2">
      <c r="A10" s="11" t="s">
        <v>791</v>
      </c>
      <c r="B10" s="11" t="s">
        <v>792</v>
      </c>
      <c r="C10" s="11" t="s">
        <v>793</v>
      </c>
      <c r="D10" s="11" t="s">
        <v>794</v>
      </c>
      <c r="E10" s="21"/>
      <c r="F10" s="11" t="s">
        <v>795</v>
      </c>
      <c r="G10" s="11" t="s">
        <v>792</v>
      </c>
      <c r="H10" s="11" t="s">
        <v>793</v>
      </c>
      <c r="I10" s="11" t="s">
        <v>794</v>
      </c>
      <c r="J10" s="21"/>
      <c r="K10" s="11" t="s">
        <v>739</v>
      </c>
      <c r="L10" s="11" t="s">
        <v>746</v>
      </c>
      <c r="M10" s="11" t="s">
        <v>796</v>
      </c>
      <c r="N10" s="11" t="s">
        <v>797</v>
      </c>
      <c r="O10" s="21"/>
      <c r="P10" s="11" t="s">
        <v>798</v>
      </c>
      <c r="Q10" s="11" t="s">
        <v>751</v>
      </c>
      <c r="R10" s="11" t="s">
        <v>796</v>
      </c>
      <c r="S10" s="11" t="s">
        <v>797</v>
      </c>
    </row>
    <row r="11" spans="1:22" x14ac:dyDescent="0.2">
      <c r="A11" s="38">
        <f t="shared" ref="A11:A24" si="0">A12-0.5</f>
        <v>-2</v>
      </c>
      <c r="B11" s="29">
        <f>IF(AND(ISNUMBER(A11),ISNUMBER(Inputs!$B$14),ISNUMBER(Inputs!$B$16),Inputs!$B$16&gt;0),NORMDIST(A11+0.5,Inputs!$B$14,Inputs!$B$16,TRUE)-NORMDIST(A11-0.5,Inputs!$B$14,Inputs!$B$16,TRUE),0)</f>
        <v>3.6015497652639339E-2</v>
      </c>
      <c r="C11" s="29">
        <f>IF(ISNUMBER(A11),NORMDIST(A11,-Inputs!$B$18,MAX(Inputs!$B$16,0.1),FALSE),"")</f>
        <v>3.4471014533249425E-2</v>
      </c>
      <c r="D11" s="29">
        <f>IF(ISNUMBER(A11),NORMDIST(A11,Inputs!$B$14,MAX(Inputs!$B$16,0.1),FALSE),"")</f>
        <v>3.6027735655050575E-2</v>
      </c>
      <c r="E11" s="29">
        <f t="shared" ref="E11:E42" si="1">D11-C11</f>
        <v>1.5567211218011495E-3</v>
      </c>
      <c r="F11" s="28">
        <f t="shared" ref="F11:F24" si="2">F12-0.5</f>
        <v>142</v>
      </c>
      <c r="G11" s="29">
        <f>IF(AND(ISNUMBER(F11),ISNUMBER(Inputs!$B$15),ISNUMBER(Inputs!$B$17),Inputs!$B$17&gt;0),NORMDIST(F11+0.5,Inputs!$B$15,Inputs!$B$17,TRUE)-NORMDIST(F11-0.5,Inputs!$B$15,Inputs!$B$17,TRUE),0)</f>
        <v>1.8371389757417061E-2</v>
      </c>
      <c r="H11" s="29">
        <f>IF(ISNUMBER(F11),NORMDIST(F11,Inputs!$B$19,MAX(Inputs!$B$17,0.1),FALSE),"")</f>
        <v>2.3907849362405916E-2</v>
      </c>
      <c r="I11" s="29">
        <f>IF(ISNUMBER(F11),NORMDIST(F11,Inputs!$B$15,MAX(Inputs!$B$17,0.1),FALSE),"")</f>
        <v>1.8372142742674808E-2</v>
      </c>
      <c r="J11" s="21"/>
      <c r="K11" s="27">
        <f>$B$5-10</f>
        <v>-4.5</v>
      </c>
      <c r="L11" s="29">
        <f>IF(AND(ISNUMBER(K11),ISNUMBER(Inputs!$B$14),ISNUMBER(Inputs!$B$16),Inputs!$B$16&gt;0),1-NORMDIST(-K11,Inputs!$B$14,Inputs!$B$16,TRUE),"")</f>
        <v>0.31654009895737356</v>
      </c>
      <c r="M11" s="27">
        <f t="shared" ref="M11:M25" si="3">IF(AND(ISNUMBER(L11),L11&gt;0,L11&lt;1),1/L11,"")</f>
        <v>3.1591574125800208</v>
      </c>
      <c r="N11" s="28">
        <f t="shared" ref="N11:N25" si="4">IF(AND(ISNUMBER(L11),L11&gt;0,L11&lt;1),IF(L11&gt;=0.5,-100*L11/(1-L11),100*(1-L11)/L11),"")</f>
        <v>215.91574125800207</v>
      </c>
      <c r="O11" s="21"/>
      <c r="P11" s="27">
        <f>$B$7-15</f>
        <v>134.5</v>
      </c>
      <c r="Q11" s="29">
        <f>IF(AND(ISNUMBER(P11),ISNUMBER(Inputs!$B$15),ISNUMBER(Inputs!$B$17),Inputs!$B$17&gt;0),1-NORMDIST(P11,Inputs!$B$15,Inputs!$B$17,TRUE),"")</f>
        <v>0.91940257402252068</v>
      </c>
      <c r="R11" s="27">
        <f t="shared" ref="R11:R25" si="5">IF(AND(ISNUMBER(Q11),Q11&gt;0,Q11&lt;1),1/Q11,"")</f>
        <v>1.0876628239410444</v>
      </c>
      <c r="S11" s="28">
        <f t="shared" ref="S11:S25" si="6">IF(AND(ISNUMBER(Q11),Q11&gt;0,Q11&lt;1),IF(Q11&gt;=0.5,-100*Q11/(1-Q11),100*(1-Q11)/Q11),"")</f>
        <v>-1140.7344128823938</v>
      </c>
    </row>
    <row r="12" spans="1:22" x14ac:dyDescent="0.2">
      <c r="A12" s="38">
        <f t="shared" si="0"/>
        <v>-1.5</v>
      </c>
      <c r="B12" s="29">
        <f>IF(AND(ISNUMBER(A12),ISNUMBER(Inputs!$B$14),ISNUMBER(Inputs!$B$16),Inputs!$B$16&gt;0),NORMDIST(A12+0.5,Inputs!$B$14,Inputs!$B$16,TRUE)-NORMDIST(A12-0.5,Inputs!$B$14,Inputs!$B$16,TRUE),0)</f>
        <v>3.6164104534506025E-2</v>
      </c>
      <c r="C12" s="29">
        <f>IF(ISNUMBER(A12),NORMDIST(A12,-Inputs!$B$18,MAX(Inputs!$B$16,0.1),FALSE),"")</f>
        <v>3.3941187506268893E-2</v>
      </c>
      <c r="D12" s="29">
        <f>IF(ISNUMBER(A12),NORMDIST(A12,Inputs!$B$14,MAX(Inputs!$B$16,0.1),FALSE),"")</f>
        <v>3.6176495625984025E-2</v>
      </c>
      <c r="E12" s="29">
        <f t="shared" si="1"/>
        <v>2.235308119715132E-3</v>
      </c>
      <c r="F12" s="28">
        <f t="shared" si="2"/>
        <v>142.5</v>
      </c>
      <c r="G12" s="29">
        <f>IF(AND(ISNUMBER(F12),ISNUMBER(Inputs!$B$15),ISNUMBER(Inputs!$B$17),Inputs!$B$17&gt;0),NORMDIST(F12+0.5,Inputs!$B$15,Inputs!$B$17,TRUE)-NORMDIST(F12-0.5,Inputs!$B$15,Inputs!$B$17,TRUE),0)</f>
        <v>1.8926437669510632E-2</v>
      </c>
      <c r="H12" s="29">
        <f>IF(ISNUMBER(F12),NORMDIST(F12,Inputs!$B$19,MAX(Inputs!$B$17,0.1),FALSE),"")</f>
        <v>2.4316060231409982E-2</v>
      </c>
      <c r="I12" s="29">
        <f>IF(ISNUMBER(F12),NORMDIST(F12,Inputs!$B$15,MAX(Inputs!$B$17,0.1),FALSE),"")</f>
        <v>1.8927432708751434E-2</v>
      </c>
      <c r="J12" s="21"/>
      <c r="K12" s="27">
        <f t="shared" ref="K12:K25" si="7">K11+3</f>
        <v>-1.5</v>
      </c>
      <c r="L12" s="29">
        <f>IF(AND(ISNUMBER(K12),ISNUMBER(Inputs!$B$14),ISNUMBER(Inputs!$B$16),Inputs!$B$16&gt;0),1-NORMDIST(-K12,Inputs!$B$14,Inputs!$B$16,TRUE),"")</f>
        <v>0.41889382626067528</v>
      </c>
      <c r="M12" s="27">
        <f t="shared" si="3"/>
        <v>2.3872397665219003</v>
      </c>
      <c r="N12" s="28">
        <f t="shared" si="4"/>
        <v>138.72397665219003</v>
      </c>
      <c r="O12" s="21"/>
      <c r="P12" s="27">
        <f t="shared" ref="P12:P25" si="8">P11+3</f>
        <v>137.5</v>
      </c>
      <c r="Q12" s="29">
        <f>IF(AND(ISNUMBER(P12),ISNUMBER(Inputs!$B$15),ISNUMBER(Inputs!$B$17),Inputs!$B$17&gt;0),1-NORMDIST(P12,Inputs!$B$15,Inputs!$B$17,TRUE),"")</f>
        <v>0.88416015023808414</v>
      </c>
      <c r="R12" s="27">
        <f t="shared" si="5"/>
        <v>1.1310168183113918</v>
      </c>
      <c r="S12" s="28">
        <f t="shared" si="6"/>
        <v>-763.26078810986633</v>
      </c>
    </row>
    <row r="13" spans="1:22" x14ac:dyDescent="0.2">
      <c r="A13" s="38">
        <f t="shared" si="0"/>
        <v>-1</v>
      </c>
      <c r="B13" s="29">
        <f>IF(AND(ISNUMBER(A13),ISNUMBER(Inputs!$B$14),ISNUMBER(Inputs!$B$16),Inputs!$B$16&gt;0),NORMDIST(A13+0.5,Inputs!$B$14,Inputs!$B$16,TRUE)-NORMDIST(A13-0.5,Inputs!$B$14,Inputs!$B$16,TRUE),0)</f>
        <v>3.6238456484633197E-2</v>
      </c>
      <c r="C13" s="29">
        <f>IF(ISNUMBER(A13),NORMDIST(A13,-Inputs!$B$18,MAX(Inputs!$B$16,0.1),FALSE),"")</f>
        <v>3.3350554783888604E-2</v>
      </c>
      <c r="D13" s="29">
        <f>IF(ISNUMBER(A13),NORMDIST(A13,Inputs!$B$14,MAX(Inputs!$B$16,0.1),FALSE),"")</f>
        <v>3.6250924328781797E-2</v>
      </c>
      <c r="E13" s="29">
        <f t="shared" si="1"/>
        <v>2.9003695448931929E-3</v>
      </c>
      <c r="F13" s="28">
        <f t="shared" si="2"/>
        <v>143</v>
      </c>
      <c r="G13" s="29">
        <f>IF(AND(ISNUMBER(F13),ISNUMBER(Inputs!$B$15),ISNUMBER(Inputs!$B$17),Inputs!$B$17&gt;0),NORMDIST(F13+0.5,Inputs!$B$15,Inputs!$B$17,TRUE)-NORMDIST(F13-0.5,Inputs!$B$15,Inputs!$B$17,TRUE),0)</f>
        <v>1.9475510984212768E-2</v>
      </c>
      <c r="H13" s="29">
        <f>IF(ISNUMBER(F13),NORMDIST(F13,Inputs!$B$19,MAX(Inputs!$B$17,0.1),FALSE),"")</f>
        <v>2.4702381659540879E-2</v>
      </c>
      <c r="I13" s="29">
        <f>IF(ISNUMBER(F13),NORMDIST(F13,Inputs!$B$15,MAX(Inputs!$B$17,0.1),FALSE),"")</f>
        <v>1.9476751711658191E-2</v>
      </c>
      <c r="J13" s="21"/>
      <c r="K13" s="27">
        <f t="shared" si="7"/>
        <v>1.5</v>
      </c>
      <c r="L13" s="29">
        <f>IF(AND(ISNUMBER(K13),ISNUMBER(Inputs!$B$14),ISNUMBER(Inputs!$B$16),Inputs!$B$16&gt;0),1-NORMDIST(-K13,Inputs!$B$14,Inputs!$B$16,TRUE),"")</f>
        <v>0.52708634775405594</v>
      </c>
      <c r="M13" s="27">
        <f t="shared" si="3"/>
        <v>1.8972223512543158</v>
      </c>
      <c r="N13" s="28">
        <f t="shared" si="4"/>
        <v>-111.45509233045756</v>
      </c>
      <c r="O13" s="21"/>
      <c r="P13" s="27">
        <f t="shared" si="8"/>
        <v>140.5</v>
      </c>
      <c r="Q13" s="29">
        <f>IF(AND(ISNUMBER(P13),ISNUMBER(Inputs!$B$15),ISNUMBER(Inputs!$B$17),Inputs!$B$17&gt;0),1-NORMDIST(P13,Inputs!$B$15,Inputs!$B$17,TRUE),"")</f>
        <v>0.83916261252131719</v>
      </c>
      <c r="R13" s="27">
        <f t="shared" si="5"/>
        <v>1.1916641483769597</v>
      </c>
      <c r="S13" s="28">
        <f t="shared" si="6"/>
        <v>-521.74598560458389</v>
      </c>
    </row>
    <row r="14" spans="1:22" x14ac:dyDescent="0.2">
      <c r="A14" s="38">
        <f t="shared" si="0"/>
        <v>-0.5</v>
      </c>
      <c r="B14" s="29">
        <f>IF(AND(ISNUMBER(A14),ISNUMBER(Inputs!$B$14),ISNUMBER(Inputs!$B$16),Inputs!$B$16&gt;0),NORMDIST(A14+0.5,Inputs!$B$14,Inputs!$B$16,TRUE)-NORMDIST(A14-0.5,Inputs!$B$14,Inputs!$B$16,TRUE),0)</f>
        <v>3.6238093936134641E-2</v>
      </c>
      <c r="C14" s="29">
        <f>IF(ISNUMBER(A14),NORMDIST(A14,-Inputs!$B$18,MAX(Inputs!$B$16,0.1),FALSE),"")</f>
        <v>3.2702590401509371E-2</v>
      </c>
      <c r="D14" s="29">
        <f>IF(ISNUMBER(A14),NORMDIST(A14,Inputs!$B$14,MAX(Inputs!$B$16,0.1),FALSE),"")</f>
        <v>3.6250561405773082E-2</v>
      </c>
      <c r="E14" s="29">
        <f t="shared" si="1"/>
        <v>3.5479710042637114E-3</v>
      </c>
      <c r="F14" s="28">
        <f t="shared" si="2"/>
        <v>143.5</v>
      </c>
      <c r="G14" s="29">
        <f>IF(AND(ISNUMBER(F14),ISNUMBER(Inputs!$B$15),ISNUMBER(Inputs!$B$17),Inputs!$B$17&gt;0),NORMDIST(F14+0.5,Inputs!$B$15,Inputs!$B$17,TRUE)-NORMDIST(F14-0.5,Inputs!$B$15,Inputs!$B$17,TRUE),0)</f>
        <v>2.0017136841592287E-2</v>
      </c>
      <c r="H14" s="29">
        <f>IF(ISNUMBER(F14),NORMDIST(F14,Inputs!$B$19,MAX(Inputs!$B$17,0.1),FALSE),"")</f>
        <v>2.506555710388109E-2</v>
      </c>
      <c r="I14" s="29">
        <f>IF(ISNUMBER(F14),NORMDIST(F14,Inputs!$B$15,MAX(Inputs!$B$17,0.1),FALSE),"")</f>
        <v>2.001862583380274E-2</v>
      </c>
      <c r="J14" s="21"/>
      <c r="K14" s="27">
        <f t="shared" si="7"/>
        <v>4.5</v>
      </c>
      <c r="L14" s="29">
        <f>IF(AND(ISNUMBER(K14),ISNUMBER(Inputs!$B$14),ISNUMBER(Inputs!$B$16),Inputs!$B$16&gt;0),1-NORMDIST(-K14,Inputs!$B$14,Inputs!$B$16,TRUE),"")</f>
        <v>0.63330495921617325</v>
      </c>
      <c r="M14" s="27">
        <f t="shared" si="3"/>
        <v>1.5790181103866243</v>
      </c>
      <c r="N14" s="28">
        <f t="shared" si="4"/>
        <v>-172.70616964506968</v>
      </c>
      <c r="O14" s="21"/>
      <c r="P14" s="27">
        <f t="shared" si="8"/>
        <v>143.5</v>
      </c>
      <c r="Q14" s="29">
        <f>IF(AND(ISNUMBER(P14),ISNUMBER(Inputs!$B$15),ISNUMBER(Inputs!$B$17),Inputs!$B$17&gt;0),1-NORMDIST(P14,Inputs!$B$15,Inputs!$B$17,TRUE),"")</f>
        <v>0.78406656494926741</v>
      </c>
      <c r="R14" s="27">
        <f t="shared" si="5"/>
        <v>1.2754019170103299</v>
      </c>
      <c r="S14" s="28">
        <f t="shared" si="6"/>
        <v>-363.10567873152871</v>
      </c>
    </row>
    <row r="15" spans="1:22" x14ac:dyDescent="0.2">
      <c r="A15" s="38">
        <f t="shared" si="0"/>
        <v>0</v>
      </c>
      <c r="B15" s="29">
        <f>IF(AND(ISNUMBER(A15),ISNUMBER(Inputs!$B$14),ISNUMBER(Inputs!$B$16),Inputs!$B$16&gt;0),NORMDIST(A15+0.5,Inputs!$B$14,Inputs!$B$16,TRUE)-NORMDIST(A15-0.5,Inputs!$B$14,Inputs!$B$16,TRUE),0)</f>
        <v>3.616301913143638E-2</v>
      </c>
      <c r="C15" s="29">
        <f>IF(ISNUMBER(A15),NORMDIST(A15,-Inputs!$B$18,MAX(Inputs!$B$16,0.1),FALSE),"")</f>
        <v>3.2001055964244594E-2</v>
      </c>
      <c r="D15" s="29">
        <f>IF(ISNUMBER(A15),NORMDIST(A15,Inputs!$B$14,MAX(Inputs!$B$16,0.1),FALSE),"")</f>
        <v>3.6175409103245237E-2</v>
      </c>
      <c r="E15" s="29">
        <f t="shared" si="1"/>
        <v>4.174353139000643E-3</v>
      </c>
      <c r="F15" s="28">
        <f t="shared" si="2"/>
        <v>144</v>
      </c>
      <c r="G15" s="29">
        <f>IF(AND(ISNUMBER(F15),ISNUMBER(Inputs!$B$15),ISNUMBER(Inputs!$B$17),Inputs!$B$17&gt;0),NORMDIST(F15+0.5,Inputs!$B$15,Inputs!$B$17,TRUE)-NORMDIST(F15-0.5,Inputs!$B$15,Inputs!$B$17,TRUE),0)</f>
        <v>2.0549826976709706E-2</v>
      </c>
      <c r="H15" s="29">
        <f>IF(ISNUMBER(F15),NORMDIST(F15,Inputs!$B$19,MAX(Inputs!$B$17,0.1),FALSE),"")</f>
        <v>2.5404392447325352E-2</v>
      </c>
      <c r="I15" s="29">
        <f>IF(ISNUMBER(F15),NORMDIST(F15,Inputs!$B$15,MAX(Inputs!$B$17,0.1),FALSE),"")</f>
        <v>2.0551565707296944E-2</v>
      </c>
      <c r="J15" s="21"/>
      <c r="K15" s="27">
        <f t="shared" si="7"/>
        <v>7.5</v>
      </c>
      <c r="L15" s="29">
        <f>IF(AND(ISNUMBER(K15),ISNUMBER(Inputs!$B$14),ISNUMBER(Inputs!$B$16),Inputs!$B$16&gt;0),1-NORMDIST(-K15,Inputs!$B$14,Inputs!$B$16,TRUE),"")</f>
        <v>0.73015811308604706</v>
      </c>
      <c r="M15" s="27">
        <f t="shared" si="3"/>
        <v>1.3695663748409967</v>
      </c>
      <c r="N15" s="28">
        <f t="shared" si="4"/>
        <v>-270.58738783533619</v>
      </c>
      <c r="O15" s="21"/>
      <c r="P15" s="27">
        <f t="shared" si="8"/>
        <v>146.5</v>
      </c>
      <c r="Q15" s="29">
        <f>IF(AND(ISNUMBER(P15),ISNUMBER(Inputs!$B$15),ISNUMBER(Inputs!$B$17),Inputs!$B$17&gt;0),1-NORMDIST(P15,Inputs!$B$15,Inputs!$B$17,TRUE),"")</f>
        <v>0.7193730259690917</v>
      </c>
      <c r="R15" s="27">
        <f t="shared" si="5"/>
        <v>1.3900993836304416</v>
      </c>
      <c r="S15" s="28">
        <f t="shared" si="6"/>
        <v>-256.34493207693561</v>
      </c>
    </row>
    <row r="16" spans="1:22" x14ac:dyDescent="0.2">
      <c r="A16" s="38">
        <f t="shared" si="0"/>
        <v>0.5</v>
      </c>
      <c r="B16" s="29">
        <f>IF(AND(ISNUMBER(A16),ISNUMBER(Inputs!$B$14),ISNUMBER(Inputs!$B$16),Inputs!$B$16&gt;0),NORMDIST(A16+0.5,Inputs!$B$14,Inputs!$B$16,TRUE)-NORMDIST(A16-0.5,Inputs!$B$14,Inputs!$B$16,TRUE),0)</f>
        <v>3.6013696099176373E-2</v>
      </c>
      <c r="C16" s="29">
        <f>IF(ISNUMBER(A16),NORMDIST(A16,-Inputs!$B$18,MAX(Inputs!$B$16,0.1),FALSE),"")</f>
        <v>3.1249964338832016E-2</v>
      </c>
      <c r="D16" s="29">
        <f>IF(ISNUMBER(A16),NORMDIST(A16,Inputs!$B$14,MAX(Inputs!$B$16,0.1),FALSE),"")</f>
        <v>3.6025932248287651E-2</v>
      </c>
      <c r="E16" s="29">
        <f t="shared" si="1"/>
        <v>4.7759679094556348E-3</v>
      </c>
      <c r="F16" s="28">
        <f t="shared" si="2"/>
        <v>144.5</v>
      </c>
      <c r="G16" s="29">
        <f>IF(AND(ISNUMBER(F16),ISNUMBER(Inputs!$B$15),ISNUMBER(Inputs!$B$17),Inputs!$B$17&gt;0),NORMDIST(F16+0.5,Inputs!$B$15,Inputs!$B$17,TRUE)-NORMDIST(F16-0.5,Inputs!$B$15,Inputs!$B$17,TRUE),0)</f>
        <v>2.1072084329432111E-2</v>
      </c>
      <c r="H16" s="29">
        <f>IF(ISNUMBER(F16),NORMDIST(F16,Inputs!$B$19,MAX(Inputs!$B$17,0.1),FALSE),"")</f>
        <v>2.5717762528982394E-2</v>
      </c>
      <c r="I16" s="29">
        <f>IF(ISNUMBER(F16),NORMDIST(F16,Inputs!$B$15,MAX(Inputs!$B$17,0.1),FALSE),"")</f>
        <v>2.107407313033622E-2</v>
      </c>
      <c r="J16" s="21"/>
      <c r="K16" s="27">
        <f t="shared" si="7"/>
        <v>10.5</v>
      </c>
      <c r="L16" s="29">
        <f>IF(AND(ISNUMBER(K16),ISNUMBER(Inputs!$B$14),ISNUMBER(Inputs!$B$16),Inputs!$B$16&gt;0),1-NORMDIST(-K16,Inputs!$B$14,Inputs!$B$16,TRUE),"")</f>
        <v>0.81218128277850488</v>
      </c>
      <c r="M16" s="27">
        <f t="shared" si="3"/>
        <v>1.2312522108105715</v>
      </c>
      <c r="N16" s="28">
        <f t="shared" si="4"/>
        <v>-432.4282983046345</v>
      </c>
      <c r="O16" s="21"/>
      <c r="P16" s="27">
        <f t="shared" si="8"/>
        <v>149.5</v>
      </c>
      <c r="Q16" s="29">
        <f>IF(AND(ISNUMBER(P16),ISNUMBER(Inputs!$B$15),ISNUMBER(Inputs!$B$17),Inputs!$B$17&gt;0),1-NORMDIST(P16,Inputs!$B$15,Inputs!$B$17,TRUE),"")</f>
        <v>0.64652627513382999</v>
      </c>
      <c r="R16" s="27">
        <f t="shared" si="5"/>
        <v>1.5467275476050861</v>
      </c>
      <c r="S16" s="28">
        <f t="shared" si="6"/>
        <v>-182.90645942031861</v>
      </c>
    </row>
    <row r="17" spans="1:22" x14ac:dyDescent="0.2">
      <c r="A17" s="38">
        <f t="shared" si="0"/>
        <v>1</v>
      </c>
      <c r="B17" s="29">
        <f>IF(AND(ISNUMBER(A17),ISNUMBER(Inputs!$B$14),ISNUMBER(Inputs!$B$16),Inputs!$B$16&gt;0),NORMDIST(A17+0.5,Inputs!$B$14,Inputs!$B$16,TRUE)-NORMDIST(A17-0.5,Inputs!$B$14,Inputs!$B$16,TRUE),0)</f>
        <v>3.5791045877311078E-2</v>
      </c>
      <c r="C17" s="29">
        <f>IF(ISNUMBER(A17),NORMDIST(A17,-Inputs!$B$18,MAX(Inputs!$B$16,0.1),FALSE),"")</f>
        <v>3.0453541523904622E-2</v>
      </c>
      <c r="D17" s="29">
        <f>IF(ISNUMBER(A17),NORMDIST(A17,Inputs!$B$14,MAX(Inputs!$B$16,0.1),FALSE),"")</f>
        <v>3.5803053460389041E-2</v>
      </c>
      <c r="E17" s="29">
        <f t="shared" si="1"/>
        <v>5.349511936484419E-3</v>
      </c>
      <c r="F17" s="28">
        <f t="shared" si="2"/>
        <v>145</v>
      </c>
      <c r="G17" s="29">
        <f>IF(AND(ISNUMBER(F17),ISNUMBER(Inputs!$B$15),ISNUMBER(Inputs!$B$17),Inputs!$B$17&gt;0),NORMDIST(F17+0.5,Inputs!$B$15,Inputs!$B$17,TRUE)-NORMDIST(F17-0.5,Inputs!$B$15,Inputs!$B$17,TRUE),0)</f>
        <v>2.1582409885983284E-2</v>
      </c>
      <c r="H17" s="29">
        <f>IF(ISNUMBER(F17),NORMDIST(F17,Inputs!$B$19,MAX(Inputs!$B$17,0.1),FALSE),"")</f>
        <v>2.600461736170926E-2</v>
      </c>
      <c r="I17" s="29">
        <f>IF(ISNUMBER(F17),NORMDIST(F17,Inputs!$B$15,MAX(Inputs!$B$17,0.1),FALSE),"")</f>
        <v>2.1584647915814395E-2</v>
      </c>
      <c r="J17" s="21"/>
      <c r="K17" s="27">
        <f t="shared" si="7"/>
        <v>13.5</v>
      </c>
      <c r="L17" s="29">
        <f>IF(AND(ISNUMBER(K17),ISNUMBER(Inputs!$B$14),ISNUMBER(Inputs!$B$16),Inputs!$B$16&gt;0),1-NORMDIST(-K17,Inputs!$B$14,Inputs!$B$16,TRUE),"")</f>
        <v>0.87669747327054259</v>
      </c>
      <c r="M17" s="27">
        <f t="shared" si="3"/>
        <v>1.1406443277057412</v>
      </c>
      <c r="N17" s="28">
        <f t="shared" si="4"/>
        <v>-711.01338839076391</v>
      </c>
      <c r="O17" s="21"/>
      <c r="P17" s="27">
        <f t="shared" si="8"/>
        <v>152.5</v>
      </c>
      <c r="Q17" s="29">
        <f>IF(AND(ISNUMBER(P17),ISNUMBER(Inputs!$B$15),ISNUMBER(Inputs!$B$17),Inputs!$B$17&gt;0),1-NORMDIST(P17,Inputs!$B$15,Inputs!$B$17,TRUE),"")</f>
        <v>0.5678636734315119</v>
      </c>
      <c r="R17" s="27">
        <f t="shared" si="5"/>
        <v>1.7609860372951054</v>
      </c>
      <c r="S17" s="28">
        <f t="shared" si="6"/>
        <v>-131.40845573914342</v>
      </c>
    </row>
    <row r="18" spans="1:22" x14ac:dyDescent="0.2">
      <c r="A18" s="38">
        <f t="shared" si="0"/>
        <v>1.5</v>
      </c>
      <c r="B18" s="29">
        <f>IF(AND(ISNUMBER(A18),ISNUMBER(Inputs!$B$14),ISNUMBER(Inputs!$B$16),Inputs!$B$16&gt;0),NORMDIST(A18+0.5,Inputs!$B$14,Inputs!$B$16,TRUE)-NORMDIST(A18-0.5,Inputs!$B$14,Inputs!$B$16,TRUE),0)</f>
        <v>3.5496437051225738E-2</v>
      </c>
      <c r="C18" s="29">
        <f>IF(ISNUMBER(A18),NORMDIST(A18,-Inputs!$B$18,MAX(Inputs!$B$16,0.1),FALSE),"")</f>
        <v>2.9616187204023946E-2</v>
      </c>
      <c r="D18" s="29">
        <f>IF(ISNUMBER(A18),NORMDIST(A18,Inputs!$B$14,MAX(Inputs!$B$16,0.1),FALSE),"")</f>
        <v>3.5508143666799288E-2</v>
      </c>
      <c r="E18" s="29">
        <f t="shared" si="1"/>
        <v>5.8919564627753426E-3</v>
      </c>
      <c r="F18" s="28">
        <f t="shared" si="2"/>
        <v>145.5</v>
      </c>
      <c r="G18" s="29">
        <f>IF(AND(ISNUMBER(F18),ISNUMBER(Inputs!$B$15),ISNUMBER(Inputs!$B$17),Inputs!$B$17&gt;0),NORMDIST(F18+0.5,Inputs!$B$15,Inputs!$B$17,TRUE)-NORMDIST(F18-0.5,Inputs!$B$15,Inputs!$B$17,TRUE),0)</f>
        <v>2.2079309709910566E-2</v>
      </c>
      <c r="H18" s="29">
        <f>IF(ISNUMBER(F18),NORMDIST(F18,Inputs!$B$19,MAX(Inputs!$B$17,0.1),FALSE),"")</f>
        <v>2.6263987988755347E-2</v>
      </c>
      <c r="I18" s="29">
        <f>IF(ISNUMBER(F18),NORMDIST(F18,Inputs!$B$15,MAX(Inputs!$B$17,0.1),FALSE),"")</f>
        <v>2.2081794929800162E-2</v>
      </c>
      <c r="J18" s="21"/>
      <c r="K18" s="27">
        <f t="shared" si="7"/>
        <v>16.5</v>
      </c>
      <c r="L18" s="29">
        <f>IF(AND(ISNUMBER(K18),ISNUMBER(Inputs!$B$14),ISNUMBER(Inputs!$B$16),Inputs!$B$16&gt;0),1-NORMDIST(-K18,Inputs!$B$14,Inputs!$B$16,TRUE),"")</f>
        <v>0.92382882708367087</v>
      </c>
      <c r="M18" s="27">
        <f t="shared" si="3"/>
        <v>1.0824516086565357</v>
      </c>
      <c r="N18" s="28">
        <f t="shared" si="4"/>
        <v>-1212.8326133279561</v>
      </c>
      <c r="O18" s="21"/>
      <c r="P18" s="27">
        <f t="shared" si="8"/>
        <v>155.5</v>
      </c>
      <c r="Q18" s="29">
        <f>IF(AND(ISNUMBER(P18),ISNUMBER(Inputs!$B$15),ISNUMBER(Inputs!$B$17),Inputs!$B$17&gt;0),1-NORMDIST(P18,Inputs!$B$15,Inputs!$B$17,TRUE),"")</f>
        <v>0.48640538300340186</v>
      </c>
      <c r="R18" s="27">
        <f t="shared" si="5"/>
        <v>2.055898299943375</v>
      </c>
      <c r="S18" s="28">
        <f t="shared" si="6"/>
        <v>105.58982999433749</v>
      </c>
    </row>
    <row r="19" spans="1:22" x14ac:dyDescent="0.2">
      <c r="A19" s="38">
        <f t="shared" si="0"/>
        <v>2</v>
      </c>
      <c r="B19" s="29">
        <f>IF(AND(ISNUMBER(A19),ISNUMBER(Inputs!$B$14),ISNUMBER(Inputs!$B$16),Inputs!$B$16&gt;0),NORMDIST(A19+0.5,Inputs!$B$14,Inputs!$B$16,TRUE)-NORMDIST(A19-0.5,Inputs!$B$14,Inputs!$B$16,TRUE),0)</f>
        <v>3.5131671742840376E-2</v>
      </c>
      <c r="C19" s="29">
        <f>IF(ISNUMBER(A19),NORMDIST(A19,-Inputs!$B$18,MAX(Inputs!$B$16,0.1),FALSE),"")</f>
        <v>2.874243450030604E-2</v>
      </c>
      <c r="D19" s="29">
        <f>IF(ISNUMBER(A19),NORMDIST(A19,Inputs!$B$14,MAX(Inputs!$B$16,0.1),FALSE),"")</f>
        <v>3.5143008058066423E-2</v>
      </c>
      <c r="E19" s="29">
        <f t="shared" si="1"/>
        <v>6.4005735577603827E-3</v>
      </c>
      <c r="F19" s="28">
        <f t="shared" si="2"/>
        <v>146</v>
      </c>
      <c r="G19" s="29">
        <f>IF(AND(ISNUMBER(F19),ISNUMBER(Inputs!$B$15),ISNUMBER(Inputs!$B$17),Inputs!$B$17&gt;0),NORMDIST(F19+0.5,Inputs!$B$15,Inputs!$B$17,TRUE)-NORMDIST(F19-0.5,Inputs!$B$15,Inputs!$B$17,TRUE),0)</f>
        <v>2.2561302117482751E-2</v>
      </c>
      <c r="H19" s="29">
        <f>IF(ISNUMBER(F19),NORMDIST(F19,Inputs!$B$19,MAX(Inputs!$B$17,0.1),FALSE),"")</f>
        <v>2.6494991933837694E-2</v>
      </c>
      <c r="I19" s="29">
        <f>IF(ISNUMBER(F19),NORMDIST(F19,Inputs!$B$15,MAX(Inputs!$B$17,0.1),FALSE),"")</f>
        <v>2.2564031274829924E-2</v>
      </c>
      <c r="J19" s="21"/>
      <c r="K19" s="27">
        <f t="shared" si="7"/>
        <v>19.5</v>
      </c>
      <c r="L19" s="29">
        <f>IF(AND(ISNUMBER(K19),ISNUMBER(Inputs!$B$14),ISNUMBER(Inputs!$B$16),Inputs!$B$16&gt;0),1-NORMDIST(-K19,Inputs!$B$14,Inputs!$B$16,TRUE),"")</f>
        <v>0.95580744446811927</v>
      </c>
      <c r="M19" s="27">
        <f t="shared" si="3"/>
        <v>1.0462358352486705</v>
      </c>
      <c r="N19" s="28">
        <f t="shared" si="4"/>
        <v>-2162.8245593957449</v>
      </c>
      <c r="O19" s="21"/>
      <c r="P19" s="27">
        <f t="shared" si="8"/>
        <v>158.5</v>
      </c>
      <c r="Q19" s="29">
        <f>IF(AND(ISNUMBER(P19),ISNUMBER(Inputs!$B$15),ISNUMBER(Inputs!$B$17),Inputs!$B$17&gt;0),1-NORMDIST(P19,Inputs!$B$15,Inputs!$B$17,TRUE),"")</f>
        <v>0.40551234420862237</v>
      </c>
      <c r="R19" s="27">
        <f t="shared" si="5"/>
        <v>2.4660161750477658</v>
      </c>
      <c r="S19" s="28">
        <f t="shared" si="6"/>
        <v>146.60161750477658</v>
      </c>
    </row>
    <row r="20" spans="1:22" x14ac:dyDescent="0.2">
      <c r="A20" s="38">
        <f t="shared" si="0"/>
        <v>2.5</v>
      </c>
      <c r="B20" s="29">
        <f>IF(AND(ISNUMBER(A20),ISNUMBER(Inputs!$B$14),ISNUMBER(Inputs!$B$16),Inputs!$B$16&gt;0),NORMDIST(A20+0.5,Inputs!$B$14,Inputs!$B$16,TRUE)-NORMDIST(A20-0.5,Inputs!$B$14,Inputs!$B$16,TRUE),0)</f>
        <v>3.4698967251381663E-2</v>
      </c>
      <c r="C20" s="29">
        <f>IF(ISNUMBER(A20),NORMDIST(A20,-Inputs!$B$18,MAX(Inputs!$B$16,0.1),FALSE),"")</f>
        <v>2.7836909429374782E-2</v>
      </c>
      <c r="D20" s="29">
        <f>IF(ISNUMBER(A20),NORMDIST(A20,Inputs!$B$14,MAX(Inputs!$B$16,0.1),FALSE),"")</f>
        <v>3.4709867685037733E-2</v>
      </c>
      <c r="E20" s="29">
        <f t="shared" si="1"/>
        <v>6.8729582556629511E-3</v>
      </c>
      <c r="F20" s="28">
        <f t="shared" si="2"/>
        <v>146.5</v>
      </c>
      <c r="G20" s="29">
        <f>IF(AND(ISNUMBER(F20),ISNUMBER(Inputs!$B$15),ISNUMBER(Inputs!$B$17),Inputs!$B$17&gt;0),NORMDIST(F20+0.5,Inputs!$B$15,Inputs!$B$17,TRUE)-NORMDIST(F20-0.5,Inputs!$B$15,Inputs!$B$17,TRUE),0)</f>
        <v>2.3026924950223737E-2</v>
      </c>
      <c r="H20" s="29">
        <f>IF(ISNUMBER(F20),NORMDIST(F20,Inputs!$B$19,MAX(Inputs!$B$17,0.1),FALSE),"")</f>
        <v>2.6696838201770313E-2</v>
      </c>
      <c r="I20" s="29">
        <f>IF(ISNUMBER(F20),NORMDIST(F20,Inputs!$B$15,MAX(Inputs!$B$17,0.1),FALSE),"")</f>
        <v>2.3029893570657677E-2</v>
      </c>
      <c r="J20" s="21"/>
      <c r="K20" s="27">
        <f t="shared" si="7"/>
        <v>22.5</v>
      </c>
      <c r="L20" s="29">
        <f>IF(AND(ISNUMBER(K20),ISNUMBER(Inputs!$B$14),ISNUMBER(Inputs!$B$16),Inputs!$B$16&gt;0),1-NORMDIST(-K20,Inputs!$B$14,Inputs!$B$16,TRUE),"")</f>
        <v>0.97595941180128787</v>
      </c>
      <c r="M20" s="27">
        <f t="shared" si="3"/>
        <v>1.0246327745887931</v>
      </c>
      <c r="N20" s="28">
        <f t="shared" si="4"/>
        <v>-4059.6320012401802</v>
      </c>
      <c r="O20" s="21"/>
      <c r="P20" s="27">
        <f t="shared" si="8"/>
        <v>161.5</v>
      </c>
      <c r="Q20" s="29">
        <f>IF(AND(ISNUMBER(P20),ISNUMBER(Inputs!$B$15),ISNUMBER(Inputs!$B$17),Inputs!$B$17&gt;0),1-NORMDIST(P20,Inputs!$B$15,Inputs!$B$17,TRUE),"")</f>
        <v>0.32847596162507542</v>
      </c>
      <c r="R20" s="27">
        <f t="shared" si="5"/>
        <v>3.0443628052801213</v>
      </c>
      <c r="S20" s="28">
        <f t="shared" si="6"/>
        <v>204.43628052801211</v>
      </c>
      <c r="U20" s="1" t="s">
        <v>799</v>
      </c>
    </row>
    <row r="21" spans="1:22" x14ac:dyDescent="0.2">
      <c r="A21" s="38">
        <f t="shared" si="0"/>
        <v>3</v>
      </c>
      <c r="B21" s="29">
        <f>IF(AND(ISNUMBER(A21),ISNUMBER(Inputs!$B$14),ISNUMBER(Inputs!$B$16),Inputs!$B$16&gt;0),NORMDIST(A21+0.5,Inputs!$B$14,Inputs!$B$16,TRUE)-NORMDIST(A21-0.5,Inputs!$B$14,Inputs!$B$16,TRUE),0)</f>
        <v>3.4200933607478889E-2</v>
      </c>
      <c r="C21" s="29">
        <f>IF(ISNUMBER(A21),NORMDIST(A21,-Inputs!$B$18,MAX(Inputs!$B$16,0.1),FALSE),"")</f>
        <v>2.6904290572986499E-2</v>
      </c>
      <c r="D21" s="29">
        <f>IF(ISNUMBER(A21),NORMDIST(A21,Inputs!$B$14,MAX(Inputs!$B$16,0.1),FALSE),"")</f>
        <v>3.4211336959786301E-2</v>
      </c>
      <c r="E21" s="29">
        <f t="shared" si="1"/>
        <v>7.3070463867998016E-3</v>
      </c>
      <c r="F21" s="28">
        <f t="shared" si="2"/>
        <v>147</v>
      </c>
      <c r="G21" s="29">
        <f>IF(AND(ISNUMBER(F21),ISNUMBER(Inputs!$B$15),ISNUMBER(Inputs!$B$17),Inputs!$B$17&gt;0),NORMDIST(F21+0.5,Inputs!$B$15,Inputs!$B$17,TRUE)-NORMDIST(F21-0.5,Inputs!$B$15,Inputs!$B$17,TRUE),0)</f>
        <v>2.3474742895370604E-2</v>
      </c>
      <c r="H21" s="29">
        <f>IF(ISNUMBER(F21),NORMDIST(F21,Inputs!$B$19,MAX(Inputs!$B$17,0.1),FALSE),"")</f>
        <v>2.6868831790005099E-2</v>
      </c>
      <c r="I21" s="29">
        <f>IF(ISNUMBER(F21),NORMDIST(F21,Inputs!$B$15,MAX(Inputs!$B$17,0.1),FALSE),"")</f>
        <v>2.3477945283179629E-2</v>
      </c>
      <c r="J21" s="21"/>
      <c r="K21" s="27">
        <f t="shared" si="7"/>
        <v>25.5</v>
      </c>
      <c r="L21" s="29">
        <f>IF(AND(ISNUMBER(K21),ISNUMBER(Inputs!$B$14),ISNUMBER(Inputs!$B$16),Inputs!$B$16&gt;0),1-NORMDIST(-K21,Inputs!$B$14,Inputs!$B$16,TRUE),"")</f>
        <v>0.9877539935077061</v>
      </c>
      <c r="M21" s="27">
        <f t="shared" si="3"/>
        <v>1.0123978304039105</v>
      </c>
      <c r="N21" s="28">
        <f t="shared" si="4"/>
        <v>-8065.9274035929529</v>
      </c>
      <c r="O21" s="21"/>
      <c r="P21" s="27">
        <f t="shared" si="8"/>
        <v>164.5</v>
      </c>
      <c r="Q21" s="29">
        <f>IF(AND(ISNUMBER(P21),ISNUMBER(Inputs!$B$15),ISNUMBER(Inputs!$B$17),Inputs!$B$17&gt;0),1-NORMDIST(P21,Inputs!$B$15,Inputs!$B$17,TRUE),"")</f>
        <v>0.2581218519643308</v>
      </c>
      <c r="R21" s="27">
        <f t="shared" si="5"/>
        <v>3.8741392578346581</v>
      </c>
      <c r="S21" s="28">
        <f t="shared" si="6"/>
        <v>287.4139257834658</v>
      </c>
      <c r="U21" s="2" t="s">
        <v>740</v>
      </c>
      <c r="V21" s="3">
        <f>INDEX(MarketMaker_Board!$I:$I,GamePick_ModeA!$B$2+1)</f>
        <v>149.5</v>
      </c>
    </row>
    <row r="22" spans="1:22" x14ac:dyDescent="0.2">
      <c r="A22" s="38">
        <f t="shared" si="0"/>
        <v>3.5</v>
      </c>
      <c r="B22" s="29">
        <f>IF(AND(ISNUMBER(A22),ISNUMBER(Inputs!$B$14),ISNUMBER(Inputs!$B$16),Inputs!$B$16&gt;0),NORMDIST(A22+0.5,Inputs!$B$14,Inputs!$B$16,TRUE)-NORMDIST(A22-0.5,Inputs!$B$14,Inputs!$B$16,TRUE),0)</f>
        <v>3.3640547358440687E-2</v>
      </c>
      <c r="C22" s="29">
        <f>IF(ISNUMBER(A22),NORMDIST(A22,-Inputs!$B$18,MAX(Inputs!$B$16,0.1),FALSE),"")</f>
        <v>2.5949269443375843E-2</v>
      </c>
      <c r="D22" s="29">
        <f>IF(ISNUMBER(A22),NORMDIST(A22,Inputs!$B$14,MAX(Inputs!$B$16,0.1),FALSE),"")</f>
        <v>3.3650397379286823E-2</v>
      </c>
      <c r="E22" s="29">
        <f t="shared" si="1"/>
        <v>7.7011279359109792E-3</v>
      </c>
      <c r="F22" s="28">
        <f t="shared" si="2"/>
        <v>147.5</v>
      </c>
      <c r="G22" s="29">
        <f>IF(AND(ISNUMBER(F22),ISNUMBER(Inputs!$B$15),ISNUMBER(Inputs!$B$17),Inputs!$B$17&gt;0),NORMDIST(F22+0.5,Inputs!$B$15,Inputs!$B$17,TRUE)-NORMDIST(F22-0.5,Inputs!$B$15,Inputs!$B$17,TRUE),0)</f>
        <v>2.3903354803544885E-2</v>
      </c>
      <c r="H22" s="29">
        <f>IF(ISNUMBER(F22),NORMDIST(F22,Inputs!$B$19,MAX(Inputs!$B$17,0.1),FALSE),"")</f>
        <v>2.7010377675080462E-2</v>
      </c>
      <c r="I22" s="29">
        <f>IF(ISNUMBER(F22),NORMDIST(F22,Inputs!$B$15,MAX(Inputs!$B$17,0.1),FALSE),"")</f>
        <v>2.3906784050748676E-2</v>
      </c>
      <c r="J22" s="21"/>
      <c r="K22" s="27">
        <f t="shared" si="7"/>
        <v>28.5</v>
      </c>
      <c r="L22" s="29">
        <f>IF(AND(ISNUMBER(K22),ISNUMBER(Inputs!$B$14),ISNUMBER(Inputs!$B$16),Inputs!$B$16&gt;0),1-NORMDIST(-K22,Inputs!$B$14,Inputs!$B$16,TRUE),"")</f>
        <v>0.99416541285519333</v>
      </c>
      <c r="M22" s="27">
        <f t="shared" si="3"/>
        <v>1.0058688293410349</v>
      </c>
      <c r="N22" s="28">
        <f t="shared" si="4"/>
        <v>-17039.173264214485</v>
      </c>
      <c r="O22" s="21"/>
      <c r="P22" s="27">
        <f t="shared" si="8"/>
        <v>167.5</v>
      </c>
      <c r="Q22" s="29">
        <f>IF(AND(ISNUMBER(P22),ISNUMBER(Inputs!$B$15),ISNUMBER(Inputs!$B$17),Inputs!$B$17&gt;0),1-NORMDIST(P22,Inputs!$B$15,Inputs!$B$17,TRUE),"")</f>
        <v>0.19650607971186074</v>
      </c>
      <c r="R22" s="27">
        <f t="shared" si="5"/>
        <v>5.0889010735256246</v>
      </c>
      <c r="S22" s="28">
        <f t="shared" si="6"/>
        <v>408.89010735256244</v>
      </c>
      <c r="U22" s="2" t="s">
        <v>745</v>
      </c>
      <c r="V22" s="3">
        <f>INDEX(MarketMaker_Board!$J:$J,GamePick_ModeA!$B$2+1)</f>
        <v>155.00127201797486</v>
      </c>
    </row>
    <row r="23" spans="1:22" x14ac:dyDescent="0.2">
      <c r="A23" s="38">
        <f t="shared" si="0"/>
        <v>4</v>
      </c>
      <c r="B23" s="29">
        <f>IF(AND(ISNUMBER(A23),ISNUMBER(Inputs!$B$14),ISNUMBER(Inputs!$B$16),Inputs!$B$16&gt;0),NORMDIST(A23+0.5,Inputs!$B$14,Inputs!$B$16,TRUE)-NORMDIST(A23-0.5,Inputs!$B$14,Inputs!$B$16,TRUE),0)</f>
        <v>3.3021121952982457E-2</v>
      </c>
      <c r="C23" s="29">
        <f>IF(ISNUMBER(A23),NORMDIST(A23,-Inputs!$B$18,MAX(Inputs!$B$16,0.1),FALSE),"")</f>
        <v>2.4976512004715866E-2</v>
      </c>
      <c r="D23" s="29">
        <f>IF(ISNUMBER(A23),NORMDIST(A23,Inputs!$B$14,MAX(Inputs!$B$16,0.1),FALSE),"")</f>
        <v>3.3030367841223637E-2</v>
      </c>
      <c r="E23" s="29">
        <f t="shared" si="1"/>
        <v>8.0538558365077714E-3</v>
      </c>
      <c r="F23" s="28">
        <f t="shared" si="2"/>
        <v>148</v>
      </c>
      <c r="G23" s="29">
        <f>IF(AND(ISNUMBER(F23),ISNUMBER(Inputs!$B$15),ISNUMBER(Inputs!$B$17),Inputs!$B$17&gt;0),NORMDIST(F23+0.5,Inputs!$B$15,Inputs!$B$17,TRUE)-NORMDIST(F23-0.5,Inputs!$B$15,Inputs!$B$17,TRUE),0)</f>
        <v>2.4311400951874673E-2</v>
      </c>
      <c r="H23" s="29">
        <f>IF(ISNUMBER(F23),NORMDIST(F23,Inputs!$B$19,MAX(Inputs!$B$17,0.1),FALSE),"")</f>
        <v>2.7120984241981418E-2</v>
      </c>
      <c r="I23" s="29">
        <f>IF(ISNUMBER(F23),NORMDIST(F23,Inputs!$B$15,MAX(Inputs!$B$17,0.1),FALSE),"")</f>
        <v>2.4315048956037436E-2</v>
      </c>
      <c r="J23" s="21"/>
      <c r="K23" s="27">
        <f t="shared" si="7"/>
        <v>31.5</v>
      </c>
      <c r="L23" s="29">
        <f>IF(AND(ISNUMBER(K23),ISNUMBER(Inputs!$B$14),ISNUMBER(Inputs!$B$16),Inputs!$B$16&gt;0),1-NORMDIST(-K23,Inputs!$B$14,Inputs!$B$16,TRUE),"")</f>
        <v>0.9974023293203238</v>
      </c>
      <c r="M23" s="27">
        <f t="shared" si="3"/>
        <v>1.0026044361470925</v>
      </c>
      <c r="N23" s="28">
        <f t="shared" si="4"/>
        <v>-38396.026760584216</v>
      </c>
      <c r="O23" s="21"/>
      <c r="P23" s="27">
        <f t="shared" si="8"/>
        <v>170.5</v>
      </c>
      <c r="Q23" s="29">
        <f>IF(AND(ISNUMBER(P23),ISNUMBER(Inputs!$B$15),ISNUMBER(Inputs!$B$17),Inputs!$B$17&gt;0),1-NORMDIST(P23,Inputs!$B$15,Inputs!$B$17,TRUE),"")</f>
        <v>0.1447569417487844</v>
      </c>
      <c r="R23" s="27">
        <f t="shared" si="5"/>
        <v>6.9081315750330674</v>
      </c>
      <c r="S23" s="28">
        <f t="shared" si="6"/>
        <v>590.8131575033068</v>
      </c>
      <c r="U23" s="2" t="s">
        <v>751</v>
      </c>
      <c r="V23" s="4">
        <f>INDEX(MarketMaker_Board!$N:$N,GamePick_ModeA!$B$2+1)</f>
        <v>0.64652627513382999</v>
      </c>
    </row>
    <row r="24" spans="1:22" x14ac:dyDescent="0.2">
      <c r="A24" s="38">
        <f t="shared" si="0"/>
        <v>4.5</v>
      </c>
      <c r="B24" s="29">
        <f>IF(AND(ISNUMBER(A24),ISNUMBER(Inputs!$B$14),ISNUMBER(Inputs!$B$16),Inputs!$B$16&gt;0),NORMDIST(A24+0.5,Inputs!$B$14,Inputs!$B$16,TRUE)-NORMDIST(A24-0.5,Inputs!$B$14,Inputs!$B$16,TRUE),0)</f>
        <v>3.2346275137444813E-2</v>
      </c>
      <c r="C24" s="29">
        <f>IF(ISNUMBER(A24),NORMDIST(A24,-Inputs!$B$18,MAX(Inputs!$B$16,0.1),FALSE),"")</f>
        <v>2.3990621779739586E-2</v>
      </c>
      <c r="D24" s="29">
        <f>IF(ISNUMBER(A24),NORMDIST(A24,Inputs!$B$14,MAX(Inputs!$B$16,0.1),FALSE),"")</f>
        <v>3.2354871965202446E-2</v>
      </c>
      <c r="E24" s="29">
        <f t="shared" si="1"/>
        <v>8.3642501854628605E-3</v>
      </c>
      <c r="F24" s="28">
        <f t="shared" si="2"/>
        <v>148.5</v>
      </c>
      <c r="G24" s="29">
        <f>IF(AND(ISNUMBER(F24),ISNUMBER(Inputs!$B$15),ISNUMBER(Inputs!$B$17),Inputs!$B$17&gt;0),NORMDIST(F24+0.5,Inputs!$B$15,Inputs!$B$17,TRUE)-NORMDIST(F24-0.5,Inputs!$B$15,Inputs!$B$17,TRUE),0)</f>
        <v>2.4697570200216123E-2</v>
      </c>
      <c r="H24" s="29">
        <f>IF(ISNUMBER(F24),NORMDIST(F24,Inputs!$B$19,MAX(Inputs!$B$17,0.1),FALSE),"")</f>
        <v>2.7200266128752683E-2</v>
      </c>
      <c r="I24" s="29">
        <f>IF(ISNUMBER(F24),NORMDIST(F24,Inputs!$B$15,MAX(Inputs!$B$17,0.1),FALSE),"")</f>
        <v>2.4701427691018615E-2</v>
      </c>
      <c r="J24" s="21"/>
      <c r="K24" s="27">
        <f t="shared" si="7"/>
        <v>34.5</v>
      </c>
      <c r="L24" s="29">
        <f>IF(AND(ISNUMBER(K24),ISNUMBER(Inputs!$B$14),ISNUMBER(Inputs!$B$16),Inputs!$B$16&gt;0),1-NORMDIST(-K24,Inputs!$B$14,Inputs!$B$16,TRUE),"")</f>
        <v>0.99892012562075394</v>
      </c>
      <c r="M24" s="27">
        <f t="shared" si="3"/>
        <v>1.0010810417685547</v>
      </c>
      <c r="N24" s="28">
        <f t="shared" si="4"/>
        <v>-92503.363800350009</v>
      </c>
      <c r="O24" s="21"/>
      <c r="P24" s="27">
        <f t="shared" si="8"/>
        <v>173.5</v>
      </c>
      <c r="Q24" s="29">
        <f>IF(AND(ISNUMBER(P24),ISNUMBER(Inputs!$B$15),ISNUMBER(Inputs!$B$17),Inputs!$B$17&gt;0),1-NORMDIST(P24,Inputs!$B$15,Inputs!$B$17,TRUE),"")</f>
        <v>0.10307738461829408</v>
      </c>
      <c r="R24" s="27">
        <f t="shared" si="5"/>
        <v>9.7014490977152796</v>
      </c>
      <c r="S24" s="28">
        <f t="shared" si="6"/>
        <v>870.14490977152809</v>
      </c>
    </row>
    <row r="25" spans="1:22" ht="16" customHeight="1" thickBot="1" x14ac:dyDescent="0.25">
      <c r="A25" s="38">
        <f>A26-0.5</f>
        <v>5</v>
      </c>
      <c r="B25" s="29">
        <f>IF(AND(ISNUMBER(A25),ISNUMBER(Inputs!$B$14),ISNUMBER(Inputs!$B$16),Inputs!$B$16&gt;0),NORMDIST(A25+0.5,Inputs!$B$14,Inputs!$B$16,TRUE)-NORMDIST(A25-0.5,Inputs!$B$14,Inputs!$B$16,TRUE),0)</f>
        <v>3.1619893811948185E-2</v>
      </c>
      <c r="C25" s="29">
        <f>IF(ISNUMBER(A25),NORMDIST(A25,-Inputs!$B$18,MAX(Inputs!$B$16,0.1),FALSE),"")</f>
        <v>2.2996104933323873E-2</v>
      </c>
      <c r="D25" s="29">
        <f>IF(ISNUMBER(A25),NORMDIST(A25,Inputs!$B$14,MAX(Inputs!$B$16,0.1),FALSE),"")</f>
        <v>3.1627802869137592E-2</v>
      </c>
      <c r="E25" s="29">
        <f t="shared" si="1"/>
        <v>8.6316979358137189E-3</v>
      </c>
      <c r="F25" s="28">
        <f>F26-0.5</f>
        <v>149</v>
      </c>
      <c r="G25" s="29">
        <f>IF(AND(ISNUMBER(F25),ISNUMBER(Inputs!$B$15),ISNUMBER(Inputs!$B$17),Inputs!$B$17&gt;0),NORMDIST(F25+0.5,Inputs!$B$15,Inputs!$B$17,TRUE)-NORMDIST(F25-0.5,Inputs!$B$15,Inputs!$B$17,TRUE),0)</f>
        <v>2.5060606988016432E-2</v>
      </c>
      <c r="H25" s="29">
        <f>IF(ISNUMBER(F25),NORMDIST(F25,Inputs!$B$19,MAX(Inputs!$B$17,0.1),FALSE),"")</f>
        <v>2.7247946463330709E-2</v>
      </c>
      <c r="I25" s="29">
        <f>IF(ISNUMBER(F25),NORMDIST(F25,Inputs!$B$15,MAX(Inputs!$B$17,0.1),FALSE),"")</f>
        <v>2.5064663562523761E-2</v>
      </c>
      <c r="J25" s="21"/>
      <c r="K25" s="27">
        <f t="shared" si="7"/>
        <v>37.5</v>
      </c>
      <c r="L25" s="29">
        <f>IF(AND(ISNUMBER(K25),ISNUMBER(Inputs!$B$14),ISNUMBER(Inputs!$B$16),Inputs!$B$16&gt;0),1-NORMDIST(-K25,Inputs!$B$14,Inputs!$B$16,TRUE),"")</f>
        <v>0.99958112203407057</v>
      </c>
      <c r="M25" s="27">
        <f t="shared" si="3"/>
        <v>1.0004190534982065</v>
      </c>
      <c r="N25" s="28">
        <f t="shared" si="4"/>
        <v>-238633.01566033429</v>
      </c>
      <c r="O25" s="21"/>
      <c r="P25" s="27">
        <f t="shared" si="8"/>
        <v>176.5</v>
      </c>
      <c r="Q25" s="29">
        <f>IF(AND(ISNUMBER(P25),ISNUMBER(Inputs!$B$15),ISNUMBER(Inputs!$B$17),Inputs!$B$17&gt;0),1-NORMDIST(P25,Inputs!$B$15,Inputs!$B$17,TRUE),"")</f>
        <v>7.0885102425204294E-2</v>
      </c>
      <c r="R25" s="27">
        <f t="shared" si="5"/>
        <v>14.10733660228774</v>
      </c>
      <c r="S25" s="28">
        <f t="shared" si="6"/>
        <v>1310.7336602287739</v>
      </c>
    </row>
    <row r="26" spans="1:22" ht="16" customHeight="1" thickBot="1" x14ac:dyDescent="0.25">
      <c r="A26" s="39">
        <f>$B$5</f>
        <v>5.5</v>
      </c>
      <c r="B26" s="34">
        <f>IF(AND(ISNUMBER(A26),ISNUMBER(Inputs!$B$14),ISNUMBER(Inputs!$B$16),Inputs!$B$16&gt;0),NORMDIST(A26+0.5,Inputs!$B$14,Inputs!$B$16,TRUE)-NORMDIST(A26-0.5,Inputs!$B$14,Inputs!$B$16,TRUE),0)</f>
        <v>3.0846096823419211E-2</v>
      </c>
      <c r="C26" s="29">
        <f>IF(ISNUMBER(A26),NORMDIST(A26,-Inputs!$B$18,MAX(Inputs!$B$16,0.1),FALSE),"")</f>
        <v>2.1997337682571429E-2</v>
      </c>
      <c r="D26" s="29">
        <f>IF(ISNUMBER(A26),NORMDIST(A26,Inputs!$B$14,MAX(Inputs!$B$16,0.1),FALSE),"")</f>
        <v>3.0853285879140012E-2</v>
      </c>
      <c r="E26" s="29">
        <f t="shared" si="1"/>
        <v>8.8559481965685832E-3</v>
      </c>
      <c r="F26" s="35">
        <f>$B$7</f>
        <v>149.5</v>
      </c>
      <c r="G26" s="29">
        <f>IF(AND(ISNUMBER(F26),ISNUMBER(Inputs!$B$15),ISNUMBER(Inputs!$B$17),Inputs!$B$17&gt;0),NORMDIST(F26+0.5,Inputs!$B$15,Inputs!$B$17,TRUE)-NORMDIST(F26-0.5,Inputs!$B$15,Inputs!$B$17,TRUE),0)</f>
        <v>2.5399318119748771E-2</v>
      </c>
      <c r="H26" s="29">
        <f>IF(ISNUMBER(F26),NORMDIST(F26,Inputs!$B$19,MAX(Inputs!$B$17,0.1),FALSE),"")</f>
        <v>2.7263858474424762E-2</v>
      </c>
      <c r="I26" s="29">
        <f>IF(ISNUMBER(F26),NORMDIST(F26,Inputs!$B$15,MAX(Inputs!$B$17,0.1),FALSE),"")</f>
        <v>2.5403562286226217E-2</v>
      </c>
      <c r="J26" s="21"/>
      <c r="K26" s="21"/>
      <c r="L26" s="21"/>
      <c r="M26" s="21"/>
      <c r="N26" s="21"/>
      <c r="O26" s="21"/>
      <c r="P26" s="21"/>
      <c r="Q26" s="21"/>
      <c r="R26" s="21"/>
      <c r="S26" s="21"/>
    </row>
    <row r="27" spans="1:22" x14ac:dyDescent="0.2">
      <c r="A27" s="40">
        <f>A26+0.5</f>
        <v>6</v>
      </c>
      <c r="B27" s="29">
        <f>IF(AND(ISNUMBER(A27),ISNUMBER(Inputs!$B$14),ISNUMBER(Inputs!$B$16),Inputs!$B$16&gt;0),NORMDIST(A27+0.5,Inputs!$B$14,Inputs!$B$16,TRUE)-NORMDIST(A27-0.5,Inputs!$B$14,Inputs!$B$16,TRUE),0)</f>
        <v>3.0029196192611018E-2</v>
      </c>
      <c r="C27" s="29">
        <f>IF(ISNUMBER(A27),NORMDIST(A27,-Inputs!$B$18,MAX(Inputs!$B$16,0.1),FALSE),"")</f>
        <v>2.0998536336593782E-2</v>
      </c>
      <c r="D27" s="29">
        <f>IF(ISNUMBER(A27),NORMDIST(A27,Inputs!$B$14,MAX(Inputs!$B$16,0.1),FALSE),"")</f>
        <v>3.0035639671452476E-2</v>
      </c>
      <c r="E27" s="29">
        <f t="shared" si="1"/>
        <v>9.037103334858694E-3</v>
      </c>
      <c r="F27" s="28">
        <f>F26+0.5</f>
        <v>150</v>
      </c>
      <c r="G27" s="29">
        <f>IF(AND(ISNUMBER(F27),ISNUMBER(Inputs!$B$15),ISNUMBER(Inputs!$B$17),Inputs!$B$17&gt;0),NORMDIST(F27+0.5,Inputs!$B$15,Inputs!$B$17,TRUE)-NORMDIST(F27-0.5,Inputs!$B$15,Inputs!$B$17,TRUE),0)</f>
        <v>2.5712579287728965E-2</v>
      </c>
      <c r="H27" s="29">
        <f>IF(ISNUMBER(F27),NORMDIST(F27,Inputs!$B$19,MAX(Inputs!$B$17,0.1),FALSE),"")</f>
        <v>2.7247946463330709E-2</v>
      </c>
      <c r="I27" s="29">
        <f>IF(ISNUMBER(F27),NORMDIST(F27,Inputs!$B$15,MAX(Inputs!$B$17,0.1),FALSE),"")</f>
        <v>2.5716998517775959E-2</v>
      </c>
      <c r="J27" s="21"/>
      <c r="K27" s="21"/>
      <c r="L27" s="21"/>
      <c r="M27" s="21"/>
      <c r="N27" s="21"/>
      <c r="O27" s="21"/>
      <c r="P27" s="21"/>
      <c r="Q27" s="21"/>
      <c r="R27" s="21"/>
      <c r="S27" s="21"/>
    </row>
    <row r="28" spans="1:22" x14ac:dyDescent="0.2">
      <c r="A28" s="40">
        <f t="shared" ref="A28:A42" si="9">A27+0.5</f>
        <v>6.5</v>
      </c>
      <c r="B28" s="29">
        <f>IF(AND(ISNUMBER(A28),ISNUMBER(Inputs!$B$14),ISNUMBER(Inputs!$B$16),Inputs!$B$16&gt;0),NORMDIST(A28+0.5,Inputs!$B$14,Inputs!$B$16,TRUE)-NORMDIST(A28-0.5,Inputs!$B$14,Inputs!$B$16,TRUE),0)</f>
        <v>2.9173657283914411E-2</v>
      </c>
      <c r="C28" s="29">
        <f>IF(ISNUMBER(A28),NORMDIST(A28,-Inputs!$B$18,MAX(Inputs!$B$16,0.1),FALSE),"")</f>
        <v>2.0003730219795769E-2</v>
      </c>
      <c r="D28" s="29">
        <f>IF(ISNUMBER(A28),NORMDIST(A28,Inputs!$B$14,MAX(Inputs!$B$16,0.1),FALSE),"")</f>
        <v>2.9179336356657752E-2</v>
      </c>
      <c r="E28" s="29">
        <f t="shared" si="1"/>
        <v>9.1756061368619829E-3</v>
      </c>
      <c r="F28" s="28">
        <f t="shared" ref="F28:F62" si="10">F27+0.5</f>
        <v>150.5</v>
      </c>
      <c r="G28" s="29">
        <f>IF(AND(ISNUMBER(F28),ISNUMBER(Inputs!$B$15),ISNUMBER(Inputs!$B$17),Inputs!$B$17&gt;0),NORMDIST(F28+0.5,Inputs!$B$15,Inputs!$B$17,TRUE)-NORMDIST(F28-0.5,Inputs!$B$15,Inputs!$B$17,TRUE),0)</f>
        <v>2.5999341282500088E-2</v>
      </c>
      <c r="H28" s="29">
        <f>IF(ISNUMBER(F28),NORMDIST(F28,Inputs!$B$19,MAX(Inputs!$B$17,0.1),FALSE),"")</f>
        <v>2.7200266128752683E-2</v>
      </c>
      <c r="I28" s="29">
        <f>IF(ISNUMBER(F28),NORMDIST(F28,Inputs!$B$15,MAX(Inputs!$B$17,0.1),FALSE),"")</f>
        <v>2.6003922071191576E-2</v>
      </c>
      <c r="J28" s="21"/>
      <c r="K28" s="21"/>
      <c r="L28" s="21"/>
      <c r="M28" s="21"/>
      <c r="N28" s="21"/>
      <c r="O28" s="21"/>
      <c r="P28" s="21"/>
      <c r="Q28" s="21"/>
      <c r="R28" s="21"/>
      <c r="S28" s="21"/>
    </row>
    <row r="29" spans="1:22" x14ac:dyDescent="0.2">
      <c r="A29" s="40">
        <f t="shared" si="9"/>
        <v>7</v>
      </c>
      <c r="B29" s="29">
        <f>IF(AND(ISNUMBER(A29),ISNUMBER(Inputs!$B$14),ISNUMBER(Inputs!$B$16),Inputs!$B$16&gt;0),NORMDIST(A29+0.5,Inputs!$B$14,Inputs!$B$16,TRUE)-NORMDIST(A29-0.5,Inputs!$B$14,Inputs!$B$16,TRUE),0)</f>
        <v>2.8284058429884018E-2</v>
      </c>
      <c r="C29" s="29">
        <f>IF(ISNUMBER(A29),NORMDIST(A29,-Inputs!$B$18,MAX(Inputs!$B$16,0.1),FALSE),"")</f>
        <v>1.9016737681011267E-2</v>
      </c>
      <c r="D29" s="29">
        <f>IF(ISNUMBER(A29),NORMDIST(A29,Inputs!$B$14,MAX(Inputs!$B$16,0.1),FALSE),"")</f>
        <v>2.828896101949176E-2</v>
      </c>
      <c r="E29" s="29">
        <f t="shared" si="1"/>
        <v>9.2722233384804932E-3</v>
      </c>
      <c r="F29" s="28">
        <f t="shared" si="10"/>
        <v>151</v>
      </c>
      <c r="G29" s="29">
        <f>IF(AND(ISNUMBER(F29),ISNUMBER(Inputs!$B$15),ISNUMBER(Inputs!$B$17),Inputs!$B$17&gt;0),NORMDIST(F29+0.5,Inputs!$B$15,Inputs!$B$17,TRUE)-NORMDIST(F29-0.5,Inputs!$B$15,Inputs!$B$17,TRUE),0)</f>
        <v>2.6258635842836442E-2</v>
      </c>
      <c r="H29" s="29">
        <f>IF(ISNUMBER(F29),NORMDIST(F29,Inputs!$B$19,MAX(Inputs!$B$17,0.1),FALSE),"")</f>
        <v>2.7120984241981418E-2</v>
      </c>
      <c r="I29" s="29">
        <f>IF(ISNUMBER(F29),NORMDIST(F29,Inputs!$B$15,MAX(Inputs!$B$17,0.1),FALSE),"")</f>
        <v>2.6263363776481554E-2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</row>
    <row r="30" spans="1:22" x14ac:dyDescent="0.2">
      <c r="A30" s="40">
        <f t="shared" si="9"/>
        <v>7.5</v>
      </c>
      <c r="B30" s="29">
        <f>IF(AND(ISNUMBER(A30),ISNUMBER(Inputs!$B$14),ISNUMBER(Inputs!$B$16),Inputs!$B$16&gt;0),NORMDIST(A30+0.5,Inputs!$B$14,Inputs!$B$16,TRUE)-NORMDIST(A30-0.5,Inputs!$B$14,Inputs!$B$16,TRUE),0)</f>
        <v>2.736505051713678E-2</v>
      </c>
      <c r="C30" s="29">
        <f>IF(ISNUMBER(A30),NORMDIST(A30,-Inputs!$B$18,MAX(Inputs!$B$16,0.1),FALSE),"")</f>
        <v>1.8041145338359651E-2</v>
      </c>
      <c r="D30" s="29">
        <f>IF(ISNUMBER(A30),NORMDIST(A30,Inputs!$B$14,MAX(Inputs!$B$16,0.1),FALSE),"")</f>
        <v>2.7369171222271355E-2</v>
      </c>
      <c r="E30" s="29">
        <f t="shared" si="1"/>
        <v>9.3280258839117045E-3</v>
      </c>
      <c r="F30" s="28">
        <f t="shared" si="10"/>
        <v>151.5</v>
      </c>
      <c r="G30" s="29">
        <f>IF(AND(ISNUMBER(F30),ISNUMBER(Inputs!$B$15),ISNUMBER(Inputs!$B$17),Inputs!$B$17&gt;0),NORMDIST(F30+0.5,Inputs!$B$15,Inputs!$B$17,TRUE)-NORMDIST(F30-0.5,Inputs!$B$15,Inputs!$B$17,TRUE),0)</f>
        <v>2.6489581099759851E-2</v>
      </c>
      <c r="H30" s="29">
        <f>IF(ISNUMBER(F30),NORMDIST(F30,Inputs!$B$19,MAX(Inputs!$B$17,0.1),FALSE),"")</f>
        <v>2.7010377675080462E-2</v>
      </c>
      <c r="I30" s="29">
        <f>IF(ISNUMBER(F30),NORMDIST(F30,Inputs!$B$15,MAX(Inputs!$B$17,0.1),FALSE),"")</f>
        <v>2.6494440930809569E-2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</row>
    <row r="31" spans="1:22" x14ac:dyDescent="0.2">
      <c r="A31" s="40">
        <f t="shared" si="9"/>
        <v>8</v>
      </c>
      <c r="B31" s="29">
        <f>IF(AND(ISNUMBER(A31),ISNUMBER(Inputs!$B$14),ISNUMBER(Inputs!$B$16),Inputs!$B$16&gt;0),NORMDIST(A31+0.5,Inputs!$B$14,Inputs!$B$16,TRUE)-NORMDIST(A31-0.5,Inputs!$B$14,Inputs!$B$16,TRUE),0)</f>
        <v>2.6421317026918523E-2</v>
      </c>
      <c r="C31" s="29">
        <f>IF(ISNUMBER(A31),NORMDIST(A31,-Inputs!$B$18,MAX(Inputs!$B$16,0.1),FALSE),"")</f>
        <v>1.7080290657179586E-2</v>
      </c>
      <c r="D31" s="29">
        <f>IF(ISNUMBER(A31),NORMDIST(A31,Inputs!$B$14,MAX(Inputs!$B$16,0.1),FALSE),"")</f>
        <v>2.6424656966507178E-2</v>
      </c>
      <c r="E31" s="29">
        <f t="shared" si="1"/>
        <v>9.3443663093275911E-3</v>
      </c>
      <c r="F31" s="28">
        <f t="shared" si="10"/>
        <v>152</v>
      </c>
      <c r="G31" s="29">
        <f>IF(AND(ISNUMBER(F31),ISNUMBER(Inputs!$B$15),ISNUMBER(Inputs!$B$17),Inputs!$B$17&gt;0),NORMDIST(F31+0.5,Inputs!$B$15,Inputs!$B$17,TRUE)-NORMDIST(F31-0.5,Inputs!$B$15,Inputs!$B$17,TRUE),0)</f>
        <v>2.6691386571752684E-2</v>
      </c>
      <c r="H31" s="29">
        <f>IF(ISNUMBER(F31),NORMDIST(F31,Inputs!$B$19,MAX(Inputs!$B$17,0.1),FALSE),"")</f>
        <v>2.6868831790005099E-2</v>
      </c>
      <c r="I31" s="29">
        <f>IF(ISNUMBER(F31),NORMDIST(F31,Inputs!$B$15,MAX(Inputs!$B$17,0.1),FALSE),"")</f>
        <v>2.6696362300318934E-2</v>
      </c>
      <c r="J31" s="21"/>
      <c r="K31" s="21"/>
      <c r="L31" s="21"/>
      <c r="M31" s="21"/>
      <c r="N31" s="21"/>
      <c r="O31" s="21"/>
      <c r="P31" s="21"/>
      <c r="Q31" s="21"/>
      <c r="R31" s="21"/>
      <c r="S31" s="21"/>
    </row>
    <row r="32" spans="1:22" x14ac:dyDescent="0.2">
      <c r="A32" s="40">
        <f t="shared" si="9"/>
        <v>8.5</v>
      </c>
      <c r="B32" s="29">
        <f>IF(AND(ISNUMBER(A32),ISNUMBER(Inputs!$B$14),ISNUMBER(Inputs!$B$16),Inputs!$B$16&gt;0),NORMDIST(A32+0.5,Inputs!$B$14,Inputs!$B$16,TRUE)-NORMDIST(A32-0.5,Inputs!$B$14,Inputs!$B$16,TRUE),0)</f>
        <v>2.5457535002645693E-2</v>
      </c>
      <c r="C32" s="29">
        <f>IF(ISNUMBER(A32),NORMDIST(A32,-Inputs!$B$18,MAX(Inputs!$B$16,0.1),FALSE),"")</f>
        <v>1.6137247906802737E-2</v>
      </c>
      <c r="D32" s="29">
        <f>IF(ISNUMBER(A32),NORMDIST(A32,Inputs!$B$14,MAX(Inputs!$B$16,0.1),FALSE),"")</f>
        <v>2.546010158618453E-2</v>
      </c>
      <c r="E32" s="29">
        <f t="shared" si="1"/>
        <v>9.3228536793817929E-3</v>
      </c>
      <c r="F32" s="28">
        <f t="shared" si="10"/>
        <v>152.5</v>
      </c>
      <c r="G32" s="29">
        <f>IF(AND(ISNUMBER(F32),ISNUMBER(Inputs!$B$15),ISNUMBER(Inputs!$B$17),Inputs!$B$17&gt;0),NORMDIST(F32+0.5,Inputs!$B$15,Inputs!$B$17,TRUE)-NORMDIST(F32-0.5,Inputs!$B$15,Inputs!$B$17,TRUE),0)</f>
        <v>2.6863357671586208E-2</v>
      </c>
      <c r="H32" s="29">
        <f>IF(ISNUMBER(F32),NORMDIST(F32,Inputs!$B$19,MAX(Inputs!$B$17,0.1),FALSE),"")</f>
        <v>2.6696838201770313E-2</v>
      </c>
      <c r="I32" s="29">
        <f>IF(ISNUMBER(F32),NORMDIST(F32,Inputs!$B$15,MAX(Inputs!$B$17,0.1),FALSE),"")</f>
        <v>2.6868432632965136E-2</v>
      </c>
      <c r="J32" s="21"/>
      <c r="K32" s="21"/>
      <c r="L32" s="21"/>
      <c r="M32" s="21"/>
      <c r="N32" s="21"/>
      <c r="O32" s="21"/>
      <c r="P32" s="21"/>
      <c r="Q32" s="21"/>
      <c r="R32" s="21"/>
      <c r="S32" s="21"/>
    </row>
    <row r="33" spans="1:19" x14ac:dyDescent="0.2">
      <c r="A33" s="40">
        <f t="shared" si="9"/>
        <v>9</v>
      </c>
      <c r="B33" s="29">
        <f>IF(AND(ISNUMBER(A33),ISNUMBER(Inputs!$B$14),ISNUMBER(Inputs!$B$16),Inputs!$B$16&gt;0),NORMDIST(A33+0.5,Inputs!$B$14,Inputs!$B$16,TRUE)-NORMDIST(A33-0.5,Inputs!$B$14,Inputs!$B$16,TRUE),0)</f>
        <v>2.4478337388729621E-2</v>
      </c>
      <c r="C33" s="29">
        <f>IF(ISNUMBER(A33),NORMDIST(A33,-Inputs!$B$18,MAX(Inputs!$B$16,0.1),FALSE),"")</f>
        <v>1.5214817492142941E-2</v>
      </c>
      <c r="D33" s="29">
        <f>IF(ISNUMBER(A33),NORMDIST(A33,Inputs!$B$14,MAX(Inputs!$B$16,0.1),FALSE),"")</f>
        <v>2.4480144018069239E-2</v>
      </c>
      <c r="E33" s="29">
        <f t="shared" si="1"/>
        <v>9.2653265259262981E-3</v>
      </c>
      <c r="F33" s="28">
        <f t="shared" si="10"/>
        <v>153</v>
      </c>
      <c r="G33" s="29">
        <f>IF(AND(ISNUMBER(F33),ISNUMBER(Inputs!$B$15),ISNUMBER(Inputs!$B$17),Inputs!$B$17&gt;0),NORMDIST(F33+0.5,Inputs!$B$15,Inputs!$B$17,TRUE)-NORMDIST(F33-0.5,Inputs!$B$15,Inputs!$B$17,TRUE),0)</f>
        <v>2.7004899688811257E-2</v>
      </c>
      <c r="H33" s="29">
        <f>IF(ISNUMBER(F33),NORMDIST(F33,Inputs!$B$19,MAX(Inputs!$B$17,0.1),FALSE),"")</f>
        <v>2.6494991933837694E-2</v>
      </c>
      <c r="I33" s="29">
        <f>IF(ISNUMBER(F33),NORMDIST(F33,Inputs!$B$15,MAX(Inputs!$B$17,0.1),FALSE),"")</f>
        <v>2.7010056646342626E-2</v>
      </c>
      <c r="J33" s="21"/>
      <c r="K33" s="21"/>
      <c r="L33" s="21"/>
      <c r="M33" s="21"/>
      <c r="N33" s="21"/>
      <c r="O33" s="21"/>
      <c r="P33" s="21"/>
      <c r="Q33" s="21"/>
      <c r="R33" s="21"/>
      <c r="S33" s="21"/>
    </row>
    <row r="34" spans="1:19" x14ac:dyDescent="0.2">
      <c r="A34" s="40">
        <f t="shared" si="9"/>
        <v>9.5</v>
      </c>
      <c r="B34" s="29">
        <f>IF(AND(ISNUMBER(A34),ISNUMBER(Inputs!$B$14),ISNUMBER(Inputs!$B$16),Inputs!$B$16&gt;0),NORMDIST(A34+0.5,Inputs!$B$14,Inputs!$B$16,TRUE)-NORMDIST(A34-0.5,Inputs!$B$14,Inputs!$B$16,TRUE),0)</f>
        <v>2.3488277150699233E-2</v>
      </c>
      <c r="C34" s="29">
        <f>IF(ISNUMBER(A34),NORMDIST(A34,-Inputs!$B$18,MAX(Inputs!$B$16,0.1),FALSE),"")</f>
        <v>1.4315518608904794E-2</v>
      </c>
      <c r="D34" s="29">
        <f>IF(ISNUMBER(A34),NORMDIST(A34,Inputs!$B$14,MAX(Inputs!$B$16,0.1),FALSE),"")</f>
        <v>2.34893428599664E-2</v>
      </c>
      <c r="E34" s="29">
        <f t="shared" si="1"/>
        <v>9.1738242510616061E-3</v>
      </c>
      <c r="F34" s="28">
        <f t="shared" si="10"/>
        <v>153.5</v>
      </c>
      <c r="G34" s="29">
        <f>IF(AND(ISNUMBER(F34),ISNUMBER(Inputs!$B$15),ISNUMBER(Inputs!$B$17),Inputs!$B$17&gt;0),NORMDIST(F34+0.5,Inputs!$B$15,Inputs!$B$17,TRUE)-NORMDIST(F34-0.5,Inputs!$B$15,Inputs!$B$17,TRUE),0)</f>
        <v>2.711552121595906E-2</v>
      </c>
      <c r="H34" s="29">
        <f>IF(ISNUMBER(F34),NORMDIST(F34,Inputs!$B$19,MAX(Inputs!$B$17,0.1),FALSE),"")</f>
        <v>2.6263987988755347E-2</v>
      </c>
      <c r="I34" s="29">
        <f>IF(ISNUMBER(F34),NORMDIST(F34,Inputs!$B$15,MAX(Inputs!$B$17,0.1),FALSE),"")</f>
        <v>2.7120742458499204E-2</v>
      </c>
      <c r="J34" s="21"/>
      <c r="K34" s="21"/>
      <c r="L34" s="21"/>
      <c r="M34" s="21"/>
      <c r="N34" s="21"/>
      <c r="O34" s="21"/>
      <c r="P34" s="21"/>
      <c r="Q34" s="21"/>
      <c r="R34" s="21"/>
      <c r="S34" s="21"/>
    </row>
    <row r="35" spans="1:19" x14ac:dyDescent="0.2">
      <c r="A35" s="40">
        <f t="shared" si="9"/>
        <v>10</v>
      </c>
      <c r="B35" s="29">
        <f>IF(AND(ISNUMBER(A35),ISNUMBER(Inputs!$B$14),ISNUMBER(Inputs!$B$16),Inputs!$B$16&gt;0),NORMDIST(A35+0.5,Inputs!$B$14,Inputs!$B$16,TRUE)-NORMDIST(A35-0.5,Inputs!$B$14,Inputs!$B$16,TRUE),0)</f>
        <v>2.2491793546896899E-2</v>
      </c>
      <c r="C35" s="29">
        <f>IF(ISNUMBER(A35),NORMDIST(A35,-Inputs!$B$18,MAX(Inputs!$B$16,0.1),FALSE),"")</f>
        <v>1.3441585127373628E-2</v>
      </c>
      <c r="D35" s="29">
        <f>IF(ISNUMBER(A35),NORMDIST(A35,Inputs!$B$14,MAX(Inputs!$B$16,0.1),FALSE),"")</f>
        <v>2.2492142587964285E-2</v>
      </c>
      <c r="E35" s="29">
        <f t="shared" si="1"/>
        <v>9.0505574605906566E-3</v>
      </c>
      <c r="F35" s="28">
        <f t="shared" si="10"/>
        <v>154</v>
      </c>
      <c r="G35" s="29">
        <f>IF(AND(ISNUMBER(F35),ISNUMBER(Inputs!$B$15),ISNUMBER(Inputs!$B$17),Inputs!$B$17&gt;0),NORMDIST(F35+0.5,Inputs!$B$15,Inputs!$B$17,TRUE)-NORMDIST(F35-0.5,Inputs!$B$15,Inputs!$B$17,TRUE),0)</f>
        <v>2.7194836990831139E-2</v>
      </c>
      <c r="H35" s="29">
        <f>IF(ISNUMBER(F35),NORMDIST(F35,Inputs!$B$19,MAX(Inputs!$B$17,0.1),FALSE),"")</f>
        <v>2.600461736170926E-2</v>
      </c>
      <c r="I35" s="29">
        <f>IF(ISNUMBER(F35),NORMDIST(F35,Inputs!$B$15,MAX(Inputs!$B$17,0.1),FALSE),"")</f>
        <v>2.7200104434067965E-2</v>
      </c>
      <c r="J35" s="21"/>
      <c r="K35" s="21"/>
      <c r="L35" s="21"/>
      <c r="M35" s="21"/>
      <c r="N35" s="21"/>
      <c r="O35" s="21"/>
      <c r="P35" s="21"/>
      <c r="Q35" s="21"/>
      <c r="R35" s="21"/>
      <c r="S35" s="21"/>
    </row>
    <row r="36" spans="1:19" x14ac:dyDescent="0.2">
      <c r="A36" s="40">
        <f t="shared" si="9"/>
        <v>10.5</v>
      </c>
      <c r="B36" s="29">
        <f>IF(AND(ISNUMBER(A36),ISNUMBER(Inputs!$B$14),ISNUMBER(Inputs!$B$16),Inputs!$B$16&gt;0),NORMDIST(A36+0.5,Inputs!$B$14,Inputs!$B$16,TRUE)-NORMDIST(A36-0.5,Inputs!$B$14,Inputs!$B$16,TRUE),0)</f>
        <v>2.1493180877743434E-2</v>
      </c>
      <c r="C36" s="29">
        <f>IF(ISNUMBER(A36),NORMDIST(A36,-Inputs!$B$18,MAX(Inputs!$B$16,0.1),FALSE),"")</f>
        <v>1.2594964569846467E-2</v>
      </c>
      <c r="D36" s="29">
        <f>IF(ISNUMBER(A36),NORMDIST(A36,Inputs!$B$14,MAX(Inputs!$B$16,0.1),FALSE),"")</f>
        <v>2.1492842259254911E-2</v>
      </c>
      <c r="E36" s="29">
        <f t="shared" si="1"/>
        <v>8.8978776894084437E-3</v>
      </c>
      <c r="F36" s="28">
        <f t="shared" si="10"/>
        <v>154.5</v>
      </c>
      <c r="G36" s="29">
        <f>IF(AND(ISNUMBER(F36),ISNUMBER(Inputs!$B$15),ISNUMBER(Inputs!$B$17),Inputs!$B$17&gt;0),NORMDIST(F36+0.5,Inputs!$B$15,Inputs!$B$17,TRUE)-NORMDIST(F36-0.5,Inputs!$B$15,Inputs!$B$17,TRUE),0)</f>
        <v>2.724257013187098E-2</v>
      </c>
      <c r="H36" s="29">
        <f>IF(ISNUMBER(F36),NORMDIST(F36,Inputs!$B$19,MAX(Inputs!$B$17,0.1),FALSE),"")</f>
        <v>2.5717762528982394E-2</v>
      </c>
      <c r="I36" s="29">
        <f>IF(ISNUMBER(F36),NORMDIST(F36,Inputs!$B$15,MAX(Inputs!$B$17,0.1),FALSE),"")</f>
        <v>2.7247865422670721E-2</v>
      </c>
      <c r="J36" s="21"/>
      <c r="K36" s="21"/>
      <c r="L36" s="21"/>
      <c r="M36" s="21"/>
      <c r="N36" s="21"/>
      <c r="O36" s="21"/>
      <c r="P36" s="21"/>
      <c r="Q36" s="21"/>
      <c r="R36" s="21"/>
      <c r="S36" s="21"/>
    </row>
    <row r="37" spans="1:19" x14ac:dyDescent="0.2">
      <c r="A37" s="40">
        <f t="shared" si="9"/>
        <v>11</v>
      </c>
      <c r="B37" s="29">
        <f>IF(AND(ISNUMBER(A37),ISNUMBER(Inputs!$B$14),ISNUMBER(Inputs!$B$16),Inputs!$B$16&gt;0),NORMDIST(A37+0.5,Inputs!$B$14,Inputs!$B$16,TRUE)-NORMDIST(A37-0.5,Inputs!$B$14,Inputs!$B$16,TRUE),0)</f>
        <v>2.0496559990728525E-2</v>
      </c>
      <c r="C37" s="29">
        <f>IF(ISNUMBER(A37),NORMDIST(A37,-Inputs!$B$18,MAX(Inputs!$B$16,0.1),FALSE),"")</f>
        <v>1.177732001129775E-2</v>
      </c>
      <c r="D37" s="29">
        <f>IF(ISNUMBER(A37),NORMDIST(A37,Inputs!$B$14,MAX(Inputs!$B$16,0.1),FALSE),"")</f>
        <v>2.0495566979113311E-2</v>
      </c>
      <c r="E37" s="36">
        <f t="shared" si="1"/>
        <v>8.718246967815561E-3</v>
      </c>
      <c r="F37" s="28">
        <f t="shared" si="10"/>
        <v>155</v>
      </c>
      <c r="G37" s="34">
        <f>IF(AND(ISNUMBER(F37),ISNUMBER(Inputs!$B$15),ISNUMBER(Inputs!$B$17),Inputs!$B$17&gt;0),NORMDIST(F37+0.5,Inputs!$B$15,Inputs!$B$17,TRUE)-NORMDIST(F37-0.5,Inputs!$B$15,Inputs!$B$17,TRUE),0)</f>
        <v>2.725855374846764E-2</v>
      </c>
      <c r="H37" s="29">
        <f>IF(ISNUMBER(F37),NORMDIST(F37,Inputs!$B$19,MAX(Inputs!$B$17,0.1),FALSE),"")</f>
        <v>2.5404392447325352E-2</v>
      </c>
      <c r="I37" s="29">
        <f>IF(ISNUMBER(F37),NORMDIST(F37,Inputs!$B$15,MAX(Inputs!$B$17,0.1),FALSE),"")</f>
        <v>2.7263858371410269E-2</v>
      </c>
      <c r="J37" s="21"/>
      <c r="K37" s="21"/>
      <c r="L37" s="21"/>
      <c r="M37" s="21"/>
      <c r="N37" s="21"/>
      <c r="O37" s="21"/>
      <c r="P37" s="21"/>
      <c r="Q37" s="21"/>
      <c r="R37" s="21"/>
      <c r="S37" s="21"/>
    </row>
    <row r="38" spans="1:19" x14ac:dyDescent="0.2">
      <c r="A38" s="40">
        <f t="shared" si="9"/>
        <v>11.5</v>
      </c>
      <c r="B38" s="29">
        <f>IF(AND(ISNUMBER(A38),ISNUMBER(Inputs!$B$14),ISNUMBER(Inputs!$B$16),Inputs!$B$16&gt;0),NORMDIST(A38+0.5,Inputs!$B$14,Inputs!$B$16,TRUE)-NORMDIST(A38-0.5,Inputs!$B$14,Inputs!$B$16,TRUE),0)</f>
        <v>1.9505852768890053E-2</v>
      </c>
      <c r="C38" s="29">
        <f>IF(ISNUMBER(A38),NORMDIST(A38,-Inputs!$B$18,MAX(Inputs!$B$16,0.1),FALSE),"")</f>
        <v>1.0990034702225034E-2</v>
      </c>
      <c r="D38" s="29">
        <f>IF(ISNUMBER(A38),NORMDIST(A38,Inputs!$B$14,MAX(Inputs!$B$16,0.1),FALSE),"")</f>
        <v>1.9504242360053072E-2</v>
      </c>
      <c r="E38" s="29">
        <f t="shared" si="1"/>
        <v>8.5142076578280379E-3</v>
      </c>
      <c r="F38" s="28">
        <f t="shared" si="10"/>
        <v>155.5</v>
      </c>
      <c r="G38" s="29">
        <f>IF(AND(ISNUMBER(F38),ISNUMBER(Inputs!$B$15),ISNUMBER(Inputs!$B$17),Inputs!$B$17&gt;0),NORMDIST(F38+0.5,Inputs!$B$15,Inputs!$B$17,TRUE)-NORMDIST(F38-0.5,Inputs!$B$15,Inputs!$B$17,TRUE),0)</f>
        <v>2.7242731913083962E-2</v>
      </c>
      <c r="H38" s="29">
        <f>IF(ISNUMBER(F38),NORMDIST(F38,Inputs!$B$19,MAX(Inputs!$B$17,0.1),FALSE),"")</f>
        <v>2.506555710388109E-2</v>
      </c>
      <c r="I38" s="29">
        <f>IF(ISNUMBER(F38),NORMDIST(F38,Inputs!$B$15,MAX(Inputs!$B$17,0.1),FALSE),"")</f>
        <v>2.7248027298322385E-2</v>
      </c>
      <c r="J38" s="21"/>
      <c r="K38" s="21"/>
      <c r="L38" s="21"/>
      <c r="M38" s="21"/>
      <c r="N38" s="21"/>
      <c r="O38" s="21"/>
      <c r="P38" s="21"/>
      <c r="Q38" s="21"/>
      <c r="R38" s="21"/>
      <c r="S38" s="21"/>
    </row>
    <row r="39" spans="1:19" x14ac:dyDescent="0.2">
      <c r="A39" s="40">
        <f t="shared" si="9"/>
        <v>12</v>
      </c>
      <c r="B39" s="29">
        <f>IF(AND(ISNUMBER(A39),ISNUMBER(Inputs!$B$14),ISNUMBER(Inputs!$B$16),Inputs!$B$16&gt;0),NORMDIST(A39+0.5,Inputs!$B$14,Inputs!$B$16,TRUE)-NORMDIST(A39-0.5,Inputs!$B$14,Inputs!$B$16,TRUE),0)</f>
        <v>1.8524759778613453E-2</v>
      </c>
      <c r="C39" s="29">
        <f>IF(ISNUMBER(A39),NORMDIST(A39,-Inputs!$B$18,MAX(Inputs!$B$16,0.1),FALSE),"")</f>
        <v>1.0234219187049953E-2</v>
      </c>
      <c r="D39" s="29">
        <f>IF(ISNUMBER(A39),NORMDIST(A39,Inputs!$B$14,MAX(Inputs!$B$16,0.1),FALSE),"")</f>
        <v>1.852257214907875E-2</v>
      </c>
      <c r="E39" s="29">
        <f t="shared" si="1"/>
        <v>8.2883529620287975E-3</v>
      </c>
      <c r="F39" s="28">
        <f t="shared" si="10"/>
        <v>156</v>
      </c>
      <c r="G39" s="29">
        <f>IF(AND(ISNUMBER(F39),ISNUMBER(Inputs!$B$15),ISNUMBER(Inputs!$B$17),Inputs!$B$17&gt;0),NORMDIST(F39+0.5,Inputs!$B$15,Inputs!$B$17,TRUE)-NORMDIST(F39-0.5,Inputs!$B$15,Inputs!$B$17,TRUE),0)</f>
        <v>2.7195159987285278E-2</v>
      </c>
      <c r="H39" s="29">
        <f>IF(ISNUMBER(F39),NORMDIST(F39,Inputs!$B$19,MAX(Inputs!$B$17,0.1),FALSE),"")</f>
        <v>2.4702381659540879E-2</v>
      </c>
      <c r="I39" s="29">
        <f>IF(ISNUMBER(F39),NORMDIST(F39,Inputs!$B$15,MAX(Inputs!$B$17,0.1),FALSE),"")</f>
        <v>2.7200427618848957E-2</v>
      </c>
      <c r="J39" s="21"/>
      <c r="K39" s="21"/>
      <c r="L39" s="21"/>
      <c r="M39" s="21"/>
      <c r="N39" s="21"/>
      <c r="O39" s="21"/>
      <c r="P39" s="21"/>
      <c r="Q39" s="21"/>
      <c r="R39" s="21"/>
      <c r="S39" s="21"/>
    </row>
    <row r="40" spans="1:19" x14ac:dyDescent="0.2">
      <c r="A40" s="40">
        <f t="shared" si="9"/>
        <v>12.5</v>
      </c>
      <c r="B40" s="29">
        <f>IF(AND(ISNUMBER(A40),ISNUMBER(Inputs!$B$14),ISNUMBER(Inputs!$B$16),Inputs!$B$16&gt;0),NORMDIST(A40+0.5,Inputs!$B$14,Inputs!$B$16,TRUE)-NORMDIST(A40-0.5,Inputs!$B$14,Inputs!$B$16,TRUE),0)</f>
        <v>1.7556741200131287E-2</v>
      </c>
      <c r="C40" s="29">
        <f>IF(ISNUMBER(A40),NORMDIST(A40,-Inputs!$B$18,MAX(Inputs!$B$16,0.1),FALSE),"")</f>
        <v>9.5107206711027518E-3</v>
      </c>
      <c r="D40" s="29">
        <f>IF(ISNUMBER(A40),NORMDIST(A40,Inputs!$B$14,MAX(Inputs!$B$16,0.1),FALSE),"")</f>
        <v>1.755401914633678E-2</v>
      </c>
      <c r="E40" s="29">
        <f t="shared" si="1"/>
        <v>8.0432984752340283E-3</v>
      </c>
      <c r="F40" s="28">
        <f t="shared" si="10"/>
        <v>156.5</v>
      </c>
      <c r="G40" s="29">
        <f>IF(AND(ISNUMBER(F40),ISNUMBER(Inputs!$B$15),ISNUMBER(Inputs!$B$17),Inputs!$B$17&gt;0),NORMDIST(F40+0.5,Inputs!$B$15,Inputs!$B$17,TRUE)-NORMDIST(F40-0.5,Inputs!$B$15,Inputs!$B$17,TRUE),0)</f>
        <v>2.7116004299009844E-2</v>
      </c>
      <c r="H40" s="29">
        <f>IF(ISNUMBER(F40),NORMDIST(F40,Inputs!$B$19,MAX(Inputs!$B$17,0.1),FALSE),"")</f>
        <v>2.4316060231409982E-2</v>
      </c>
      <c r="I40" s="29">
        <f>IF(ISNUMBER(F40),NORMDIST(F40,Inputs!$B$15,MAX(Inputs!$B$17,0.1),FALSE),"")</f>
        <v>2.7121225822668016E-2</v>
      </c>
      <c r="J40" s="21"/>
      <c r="K40" s="21"/>
      <c r="L40" s="21"/>
      <c r="M40" s="21"/>
      <c r="N40" s="21"/>
      <c r="O40" s="21"/>
      <c r="P40" s="21"/>
      <c r="Q40" s="21"/>
      <c r="R40" s="21"/>
      <c r="S40" s="21"/>
    </row>
    <row r="41" spans="1:19" x14ac:dyDescent="0.2">
      <c r="A41" s="40">
        <f t="shared" si="9"/>
        <v>13</v>
      </c>
      <c r="B41" s="29">
        <f>IF(AND(ISNUMBER(A41),ISNUMBER(Inputs!$B$14),ISNUMBER(Inputs!$B$16),Inputs!$B$16&gt;0),NORMDIST(A41+0.5,Inputs!$B$14,Inputs!$B$16,TRUE)-NORMDIST(A41-0.5,Inputs!$B$14,Inputs!$B$16,TRUE),0)</f>
        <v>1.660500111208929E-2</v>
      </c>
      <c r="C41" s="29">
        <f>IF(ISNUMBER(A41),NORMDIST(A41,-Inputs!$B$18,MAX(Inputs!$B$16,0.1),FALSE),"")</f>
        <v>8.8201343741263118E-3</v>
      </c>
      <c r="D41" s="29">
        <f>IF(ISNUMBER(A41),NORMDIST(A41,Inputs!$B$14,MAX(Inputs!$B$16,0.1),FALSE),"")</f>
        <v>1.660178948630216E-2</v>
      </c>
      <c r="E41" s="29">
        <f t="shared" si="1"/>
        <v>7.7816551121758486E-3</v>
      </c>
      <c r="F41" s="28">
        <f t="shared" si="10"/>
        <v>157</v>
      </c>
      <c r="G41" s="29">
        <f>IF(AND(ISNUMBER(F41),ISNUMBER(Inputs!$B$15),ISNUMBER(Inputs!$B$17),Inputs!$B$17&gt;0),NORMDIST(F41+0.5,Inputs!$B$15,Inputs!$B$17,TRUE)-NORMDIST(F41-0.5,Inputs!$B$15,Inputs!$B$17,TRUE),0)</f>
        <v>2.7005541173711567E-2</v>
      </c>
      <c r="H41" s="29">
        <f>IF(ISNUMBER(F41),NORMDIST(F41,Inputs!$B$19,MAX(Inputs!$B$17,0.1),FALSE),"")</f>
        <v>2.3907849362405916E-2</v>
      </c>
      <c r="I41" s="29">
        <f>IF(ISNUMBER(F41),NORMDIST(F41,Inputs!$B$15,MAX(Inputs!$B$17,0.1),FALSE),"")</f>
        <v>2.7010698503518005E-2</v>
      </c>
      <c r="J41" s="21"/>
      <c r="K41" s="21"/>
      <c r="L41" s="21"/>
      <c r="M41" s="21"/>
      <c r="N41" s="21"/>
      <c r="O41" s="21"/>
      <c r="P41" s="21"/>
      <c r="Q41" s="21"/>
      <c r="R41" s="21"/>
      <c r="S41" s="21"/>
    </row>
    <row r="42" spans="1:19" x14ac:dyDescent="0.2">
      <c r="A42" s="40">
        <f t="shared" si="9"/>
        <v>13.5</v>
      </c>
      <c r="B42" s="29">
        <f>IF(AND(ISNUMBER(A42),ISNUMBER(Inputs!$B$14),ISNUMBER(Inputs!$B$16),Inputs!$B$16&gt;0),NORMDIST(A42+0.5,Inputs!$B$14,Inputs!$B$16,TRUE)-NORMDIST(A42-0.5,Inputs!$B$14,Inputs!$B$16,TRUE),0)</f>
        <v>1.5672475150898757E-2</v>
      </c>
      <c r="C42" s="29">
        <f>IF(ISNUMBER(A42),NORMDIST(A42,-Inputs!$B$18,MAX(Inputs!$B$16,0.1),FALSE),"")</f>
        <v>8.1628165983221417E-3</v>
      </c>
      <c r="D42" s="29">
        <f>IF(ISNUMBER(A42),NORMDIST(A42,Inputs!$B$14,MAX(Inputs!$B$16,0.1),FALSE),"")</f>
        <v>1.5668820301850031E-2</v>
      </c>
      <c r="E42" s="29">
        <f t="shared" si="1"/>
        <v>7.5060037035278894E-3</v>
      </c>
      <c r="F42" s="28">
        <f t="shared" si="10"/>
        <v>157.5</v>
      </c>
      <c r="G42" s="29">
        <f>IF(AND(ISNUMBER(F42),ISNUMBER(Inputs!$B$15),ISNUMBER(Inputs!$B$17),Inputs!$B$17&gt;0),NORMDIST(F42+0.5,Inputs!$B$15,Inputs!$B$17,TRUE)-NORMDIST(F42-0.5,Inputs!$B$15,Inputs!$B$17,TRUE),0)</f>
        <v>2.686415532727493E-2</v>
      </c>
      <c r="H42" s="29">
        <f>IF(ISNUMBER(F42),NORMDIST(F42,Inputs!$B$19,MAX(Inputs!$B$17,0.1),FALSE),"")</f>
        <v>2.3479061227879586E-2</v>
      </c>
      <c r="I42" s="29">
        <f>IF(ISNUMBER(F42),NORMDIST(F42,Inputs!$B$15,MAX(Inputs!$B$17,0.1),FALSE),"")</f>
        <v>2.6869230749928089E-2</v>
      </c>
      <c r="J42" s="21"/>
      <c r="K42" s="21"/>
      <c r="L42" s="21"/>
      <c r="M42" s="21"/>
      <c r="N42" s="21"/>
      <c r="O42" s="21"/>
      <c r="P42" s="21"/>
      <c r="Q42" s="21"/>
      <c r="R42" s="21"/>
      <c r="S42" s="21"/>
    </row>
    <row r="43" spans="1:19" x14ac:dyDescent="0.2">
      <c r="A43" s="21"/>
      <c r="B43" s="21"/>
      <c r="C43" s="21"/>
      <c r="D43" s="21"/>
      <c r="E43" s="29">
        <f t="shared" ref="E43:E62" si="11">D43-C43</f>
        <v>0</v>
      </c>
      <c r="F43" s="28">
        <f t="shared" si="10"/>
        <v>158</v>
      </c>
      <c r="G43" s="29">
        <f>IF(AND(ISNUMBER(F43),ISNUMBER(Inputs!$B$15),ISNUMBER(Inputs!$B$17),Inputs!$B$17&gt;0),NORMDIST(F43+0.5,Inputs!$B$15,Inputs!$B$17,TRUE)-NORMDIST(F43-0.5,Inputs!$B$15,Inputs!$B$17,TRUE),0)</f>
        <v>2.6692337633782648E-2</v>
      </c>
      <c r="H43" s="29">
        <f>IF(ISNUMBER(F43),NORMDIST(F43,Inputs!$B$19,MAX(Inputs!$B$17,0.1),FALSE),"")</f>
        <v>2.303105663052887E-2</v>
      </c>
      <c r="I43" s="29">
        <f>IF(ISNUMBER(F43),NORMDIST(F43,Inputs!$B$15,MAX(Inputs!$B$17,0.1),FALSE),"")</f>
        <v>2.6697313909957627E-2</v>
      </c>
      <c r="J43" s="21"/>
      <c r="K43" s="21"/>
      <c r="L43" s="21"/>
      <c r="M43" s="21"/>
      <c r="N43" s="21"/>
      <c r="O43" s="21"/>
      <c r="P43" s="21"/>
      <c r="Q43" s="21"/>
      <c r="R43" s="21"/>
      <c r="S43" s="21"/>
    </row>
    <row r="44" spans="1:19" x14ac:dyDescent="0.2">
      <c r="A44" s="21"/>
      <c r="B44" s="21"/>
      <c r="C44" s="21"/>
      <c r="D44" s="21"/>
      <c r="E44" s="29">
        <f t="shared" si="11"/>
        <v>0</v>
      </c>
      <c r="F44" s="28">
        <f t="shared" si="10"/>
        <v>158.5</v>
      </c>
      <c r="G44" s="29">
        <f>IF(AND(ISNUMBER(F44),ISNUMBER(Inputs!$B$15),ISNUMBER(Inputs!$B$17),Inputs!$B$17&gt;0),NORMDIST(F44+0.5,Inputs!$B$15,Inputs!$B$17,TRUE)-NORMDIST(F44-0.5,Inputs!$B$15,Inputs!$B$17,TRUE),0)</f>
        <v>2.6490682286258616E-2</v>
      </c>
      <c r="H44" s="29">
        <f>IF(ISNUMBER(F44),NORMDIST(F44,Inputs!$B$19,MAX(Inputs!$B$17,0.1),FALSE),"")</f>
        <v>2.2565237835757264E-2</v>
      </c>
      <c r="I44" s="29">
        <f>IF(ISNUMBER(F44),NORMDIST(F44,Inputs!$B$15,MAX(Inputs!$B$17,0.1),FALSE),"")</f>
        <v>2.6495542748102053E-2</v>
      </c>
      <c r="J44" s="21"/>
      <c r="K44" s="21"/>
      <c r="L44" s="21"/>
      <c r="M44" s="21"/>
      <c r="N44" s="21"/>
      <c r="O44" s="21"/>
      <c r="P44" s="21"/>
      <c r="Q44" s="21"/>
      <c r="R44" s="21"/>
      <c r="S44" s="21"/>
    </row>
    <row r="45" spans="1:19" x14ac:dyDescent="0.2">
      <c r="A45" s="21"/>
      <c r="B45" s="21"/>
      <c r="C45" s="21"/>
      <c r="D45" s="21"/>
      <c r="E45" s="29">
        <f t="shared" si="11"/>
        <v>0</v>
      </c>
      <c r="F45" s="28">
        <f t="shared" si="10"/>
        <v>159</v>
      </c>
      <c r="G45" s="29">
        <f>IF(AND(ISNUMBER(F45),ISNUMBER(Inputs!$B$15),ISNUMBER(Inputs!$B$17),Inputs!$B$17&gt;0),NORMDIST(F45+0.5,Inputs!$B$15,Inputs!$B$17,TRUE)-NORMDIST(F45-0.5,Inputs!$B$15,Inputs!$B$17,TRUE),0)</f>
        <v>2.625988337337215E-2</v>
      </c>
      <c r="H45" s="29">
        <f>IF(ISNUMBER(F45),NORMDIST(F45,Inputs!$B$19,MAX(Inputs!$B$17,0.1),FALSE),"")</f>
        <v>2.2083041300016055E-2</v>
      </c>
      <c r="I45" s="29">
        <f>IF(ISNUMBER(F45),NORMDIST(F45,Inputs!$B$15,MAX(Inputs!$B$17,0.1),FALSE),"")</f>
        <v>2.6264612017387227E-2</v>
      </c>
      <c r="J45" s="21"/>
      <c r="K45" s="21"/>
      <c r="L45" s="21"/>
      <c r="M45" s="21"/>
      <c r="N45" s="21"/>
      <c r="O45" s="21"/>
      <c r="P45" s="21"/>
      <c r="Q45" s="21"/>
      <c r="R45" s="21"/>
      <c r="S45" s="21"/>
    </row>
    <row r="46" spans="1:19" x14ac:dyDescent="0.2">
      <c r="A46" s="21"/>
      <c r="B46" s="21"/>
      <c r="C46" s="21"/>
      <c r="D46" s="21"/>
      <c r="E46" s="29">
        <f t="shared" si="11"/>
        <v>0</v>
      </c>
      <c r="F46" s="28">
        <f t="shared" si="10"/>
        <v>159.5</v>
      </c>
      <c r="G46" s="29">
        <f>IF(AND(ISNUMBER(F46),ISNUMBER(Inputs!$B$15),ISNUMBER(Inputs!$B$17),Inputs!$B$17&gt;0),NORMDIST(F46+0.5,Inputs!$B$15,Inputs!$B$17,TRUE)-NORMDIST(F46-0.5,Inputs!$B$15,Inputs!$B$17,TRUE),0)</f>
        <v>2.600073089970123E-2</v>
      </c>
      <c r="H46" s="29">
        <f>IF(ISNUMBER(F46),NORMDIST(F46,Inputs!$B$19,MAX(Inputs!$B$17,0.1),FALSE),"")</f>
        <v>2.1585930344562253E-2</v>
      </c>
      <c r="I46" s="29">
        <f>IF(ISNUMBER(F46),NORMDIST(F46,Inputs!$B$15,MAX(Inputs!$B$17,0.1),FALSE),"")</f>
        <v>2.6005312474299224E-2</v>
      </c>
      <c r="J46" s="21"/>
      <c r="K46" s="21"/>
      <c r="L46" s="21"/>
      <c r="M46" s="21"/>
      <c r="N46" s="21"/>
      <c r="O46" s="21"/>
      <c r="P46" s="21"/>
      <c r="Q46" s="21"/>
      <c r="R46" s="21"/>
      <c r="S46" s="21"/>
    </row>
    <row r="47" spans="1:19" x14ac:dyDescent="0.2">
      <c r="A47" s="21"/>
      <c r="B47" s="21"/>
      <c r="C47" s="21"/>
      <c r="D47" s="21"/>
      <c r="E47" s="29">
        <f t="shared" si="11"/>
        <v>0</v>
      </c>
      <c r="F47" s="28">
        <f t="shared" si="10"/>
        <v>160</v>
      </c>
      <c r="G47" s="29">
        <f>IF(AND(ISNUMBER(F47),ISNUMBER(Inputs!$B$15),ISNUMBER(Inputs!$B$17),Inputs!$B$17&gt;0),NORMDIST(F47+0.5,Inputs!$B$15,Inputs!$B$17,TRUE)-NORMDIST(F47-0.5,Inputs!$B$15,Inputs!$B$17,TRUE),0)</f>
        <v>2.5714106281483518E-2</v>
      </c>
      <c r="H47" s="29">
        <f>IF(ISNUMBER(F47),NORMDIST(F47,Inputs!$B$19,MAX(Inputs!$B$17,0.1),FALSE),"")</f>
        <v>2.1075387826475649E-2</v>
      </c>
      <c r="I47" s="29">
        <f>IF(ISNUMBER(F47),NORMDIST(F47,Inputs!$B$15,MAX(Inputs!$B$17,0.1),FALSE),"")</f>
        <v>2.5718526368535253E-2</v>
      </c>
      <c r="J47" s="21"/>
      <c r="K47" s="21"/>
      <c r="L47" s="21"/>
      <c r="M47" s="21"/>
      <c r="N47" s="21"/>
      <c r="O47" s="21"/>
      <c r="P47" s="21"/>
      <c r="Q47" s="21"/>
      <c r="R47" s="21"/>
      <c r="S47" s="21"/>
    </row>
    <row r="48" spans="1:19" x14ac:dyDescent="0.2">
      <c r="A48" s="21"/>
      <c r="B48" s="21"/>
      <c r="C48" s="21"/>
      <c r="D48" s="21"/>
      <c r="E48" s="29">
        <f t="shared" si="11"/>
        <v>0</v>
      </c>
      <c r="F48" s="28">
        <f t="shared" si="10"/>
        <v>160.5</v>
      </c>
      <c r="G48" s="29">
        <f>IF(AND(ISNUMBER(F48),ISNUMBER(Inputs!$B$15),ISNUMBER(Inputs!$B$17),Inputs!$B$17&gt;0),NORMDIST(F48+0.5,Inputs!$B$15,Inputs!$B$17,TRUE)-NORMDIST(F48-0.5,Inputs!$B$15,Inputs!$B$17,TRUE),0)</f>
        <v>2.5400977353790877E-2</v>
      </c>
      <c r="H48" s="29">
        <f>IF(ISNUMBER(F48),NORMDIST(F48,Inputs!$B$19,MAX(Inputs!$B$17,0.1),FALSE),"")</f>
        <v>2.0552908857723085E-2</v>
      </c>
      <c r="I48" s="29">
        <f>IF(ISNUMBER(F48),NORMDIST(F48,Inputs!$B$15,MAX(Inputs!$B$17,0.1),FALSE),"")</f>
        <v>2.5405222443569707E-2</v>
      </c>
      <c r="J48" s="21"/>
      <c r="K48" s="21"/>
      <c r="L48" s="21"/>
      <c r="M48" s="21"/>
      <c r="N48" s="21"/>
      <c r="O48" s="21"/>
      <c r="P48" s="21"/>
      <c r="Q48" s="21"/>
      <c r="R48" s="21"/>
      <c r="S48" s="21"/>
    </row>
    <row r="49" spans="1:19" x14ac:dyDescent="0.2">
      <c r="A49" s="21"/>
      <c r="B49" s="21"/>
      <c r="C49" s="21"/>
      <c r="D49" s="21"/>
      <c r="E49" s="29">
        <f t="shared" si="11"/>
        <v>0</v>
      </c>
      <c r="F49" s="28">
        <f t="shared" si="10"/>
        <v>161</v>
      </c>
      <c r="G49" s="29">
        <f>IF(AND(ISNUMBER(F49),ISNUMBER(Inputs!$B$15),ISNUMBER(Inputs!$B$17),Inputs!$B$17&gt;0),NORMDIST(F49+0.5,Inputs!$B$15,Inputs!$B$17,TRUE)-NORMDIST(F49-0.5,Inputs!$B$15,Inputs!$B$17,TRUE),0)</f>
        <v>2.5062392928691279E-2</v>
      </c>
      <c r="H49" s="29">
        <f>IF(ISNUMBER(F49),NORMDIST(F49,Inputs!$B$19,MAX(Inputs!$B$17,0.1),FALSE),"")</f>
        <v>2.001999362155674E-2</v>
      </c>
      <c r="I49" s="29">
        <f>IF(ISNUMBER(F49),NORMDIST(F49,Inputs!$B$15,MAX(Inputs!$B$17,0.1),FALSE),"")</f>
        <v>2.5066450487669187E-2</v>
      </c>
      <c r="J49" s="21"/>
      <c r="K49" s="21"/>
      <c r="L49" s="21"/>
      <c r="M49" s="21"/>
      <c r="N49" s="21"/>
      <c r="O49" s="21"/>
      <c r="P49" s="21"/>
      <c r="Q49" s="21"/>
      <c r="R49" s="21"/>
      <c r="S49" s="21"/>
    </row>
    <row r="50" spans="1:19" x14ac:dyDescent="0.2">
      <c r="A50" s="21"/>
      <c r="B50" s="21"/>
      <c r="C50" s="21"/>
      <c r="D50" s="21"/>
      <c r="E50" s="29">
        <f t="shared" si="11"/>
        <v>0</v>
      </c>
      <c r="F50" s="28">
        <f t="shared" si="10"/>
        <v>161.5</v>
      </c>
      <c r="G50" s="29">
        <f>IF(AND(ISNUMBER(F50),ISNUMBER(Inputs!$B$15),ISNUMBER(Inputs!$B$17),Inputs!$B$17&gt;0),NORMDIST(F50+0.5,Inputs!$B$15,Inputs!$B$17,TRUE)-NORMDIST(F50-0.5,Inputs!$B$15,Inputs!$B$17,TRUE),0)</f>
        <v>2.4699476947197097E-2</v>
      </c>
      <c r="H50" s="29">
        <f>IF(ISNUMBER(F50),NORMDIST(F50,Inputs!$B$19,MAX(Inputs!$B$17,0.1),FALSE),"")</f>
        <v>1.947814033361097E-2</v>
      </c>
      <c r="I50" s="29">
        <f>IF(ISNUMBER(F50),NORMDIST(F50,Inputs!$B$15,MAX(Inputs!$B$17,0.1),FALSE),"")</f>
        <v>2.4703335478225889E-2</v>
      </c>
      <c r="J50" s="21"/>
      <c r="K50" s="21"/>
      <c r="L50" s="21"/>
      <c r="M50" s="21"/>
      <c r="N50" s="21"/>
      <c r="O50" s="21"/>
      <c r="P50" s="21"/>
      <c r="Q50" s="21"/>
      <c r="R50" s="21"/>
      <c r="S50" s="21"/>
    </row>
    <row r="51" spans="1:19" x14ac:dyDescent="0.2">
      <c r="A51" s="21"/>
      <c r="B51" s="21"/>
      <c r="C51" s="21"/>
      <c r="D51" s="21"/>
      <c r="E51" s="29">
        <f t="shared" si="11"/>
        <v>0</v>
      </c>
      <c r="F51" s="28">
        <f t="shared" si="10"/>
        <v>162</v>
      </c>
      <c r="G51" s="29">
        <f>IF(AND(ISNUMBER(F51),ISNUMBER(Inputs!$B$15),ISNUMBER(Inputs!$B$17),Inputs!$B$17&gt;0),NORMDIST(F51+0.5,Inputs!$B$15,Inputs!$B$17,TRUE)-NORMDIST(F51-0.5,Inputs!$B$15,Inputs!$B$17,TRUE),0)</f>
        <v>2.4313422270594742E-2</v>
      </c>
      <c r="H51" s="29">
        <f>IF(ISNUMBER(F51),NORMDIST(F51,Inputs!$B$19,MAX(Inputs!$B$17,0.1),FALSE),"")</f>
        <v>1.8928838392749538E-2</v>
      </c>
      <c r="I51" s="29">
        <f>IF(ISNUMBER(F51),NORMDIST(F51,Inputs!$B$15,MAX(Inputs!$B$17,0.1),FALSE),"")</f>
        <v>2.431707136508144E-2</v>
      </c>
      <c r="J51" s="21"/>
      <c r="K51" s="21"/>
      <c r="L51" s="21"/>
      <c r="M51" s="21"/>
      <c r="N51" s="21"/>
      <c r="O51" s="21"/>
      <c r="P51" s="21"/>
      <c r="Q51" s="21"/>
      <c r="R51" s="21"/>
      <c r="S51" s="21"/>
    </row>
    <row r="52" spans="1:19" x14ac:dyDescent="0.2">
      <c r="A52" s="21"/>
      <c r="B52" s="21"/>
      <c r="C52" s="21"/>
      <c r="D52" s="21"/>
      <c r="E52" s="29">
        <f t="shared" si="11"/>
        <v>0</v>
      </c>
      <c r="F52" s="28">
        <f t="shared" si="10"/>
        <v>162.5</v>
      </c>
      <c r="G52" s="29">
        <f>IF(AND(ISNUMBER(F52),ISNUMBER(Inputs!$B$15),ISNUMBER(Inputs!$B$17),Inputs!$B$17&gt;0),NORMDIST(F52+0.5,Inputs!$B$15,Inputs!$B$17,TRUE)-NORMDIST(F52-0.5,Inputs!$B$15,Inputs!$B$17,TRUE),0)</f>
        <v>2.3905484159092438E-2</v>
      </c>
      <c r="H52" s="29">
        <f>IF(ISNUMBER(F52),NORMDIST(F52,Inputs!$B$19,MAX(Inputs!$B$17,0.1),FALSE),"")</f>
        <v>1.8373561764044109E-2</v>
      </c>
      <c r="I52" s="29">
        <f>IF(ISNUMBER(F52),NORMDIST(F52,Inputs!$B$15,MAX(Inputs!$B$17,0.1),FALSE),"")</f>
        <v>2.390891454085841E-2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</row>
    <row r="53" spans="1:19" x14ac:dyDescent="0.2">
      <c r="A53" s="21"/>
      <c r="B53" s="21"/>
      <c r="C53" s="21"/>
      <c r="D53" s="21"/>
      <c r="E53" s="29">
        <f t="shared" si="11"/>
        <v>0</v>
      </c>
      <c r="F53" s="28">
        <f t="shared" si="10"/>
        <v>163</v>
      </c>
      <c r="G53" s="29">
        <f>IF(AND(ISNUMBER(F53),ISNUMBER(Inputs!$B$15),ISNUMBER(Inputs!$B$17),Inputs!$B$17&gt;0),NORMDIST(F53+0.5,Inputs!$B$15,Inputs!$B$17,TRUE)-NORMDIST(F53-0.5,Inputs!$B$15,Inputs!$B$17,TRUE),0)</f>
        <v>2.3476973487593367E-2</v>
      </c>
      <c r="H53" s="29">
        <f>IF(ISNUMBER(F53),NORMDIST(F53,Inputs!$B$19,MAX(Inputs!$B$17,0.1),FALSE),"")</f>
        <v>1.7813762633273573E-2</v>
      </c>
      <c r="I53" s="29">
        <f>IF(ISNUMBER(F53),NORMDIST(F53,Inputs!$B$15,MAX(Inputs!$B$17,0.1),FALSE),"")</f>
        <v>2.3480177048185936E-2</v>
      </c>
      <c r="J53" s="21"/>
      <c r="K53" s="21"/>
      <c r="L53" s="21"/>
      <c r="M53" s="21"/>
      <c r="N53" s="21"/>
      <c r="O53" s="21"/>
      <c r="P53" s="21"/>
      <c r="Q53" s="21"/>
      <c r="R53" s="21"/>
      <c r="S53" s="21"/>
    </row>
    <row r="54" spans="1:19" x14ac:dyDescent="0.2">
      <c r="A54" s="21"/>
      <c r="B54" s="21"/>
      <c r="C54" s="21"/>
      <c r="D54" s="21"/>
      <c r="E54" s="29">
        <f t="shared" si="11"/>
        <v>0</v>
      </c>
      <c r="F54" s="28">
        <f t="shared" si="10"/>
        <v>163.5</v>
      </c>
      <c r="G54" s="29">
        <f>IF(AND(ISNUMBER(F54),ISNUMBER(Inputs!$B$15),ISNUMBER(Inputs!$B$17),Inputs!$B$17&gt;0),NORMDIST(F54+0.5,Inputs!$B$15,Inputs!$B$17,TRUE)-NORMDIST(F54-0.5,Inputs!$B$15,Inputs!$B$17,TRUE),0)</f>
        <v>2.3029249749777159E-2</v>
      </c>
      <c r="H54" s="29">
        <f>IF(ISNUMBER(F54),NORMDIST(F54,Inputs!$B$19,MAX(Inputs!$B$17,0.1),FALSE),"")</f>
        <v>1.725086536906062E-2</v>
      </c>
      <c r="I54" s="29">
        <f>IF(ISNUMBER(F54),NORMDIST(F54,Inputs!$B$15,MAX(Inputs!$B$17,0.1),FALSE),"")</f>
        <v>2.3032219575086017E-2</v>
      </c>
      <c r="J54" s="21"/>
      <c r="K54" s="21"/>
      <c r="L54" s="21"/>
      <c r="M54" s="21"/>
      <c r="N54" s="21"/>
      <c r="O54" s="21"/>
      <c r="P54" s="21"/>
      <c r="Q54" s="21"/>
      <c r="R54" s="21"/>
      <c r="S54" s="21"/>
    </row>
    <row r="55" spans="1:19" x14ac:dyDescent="0.2">
      <c r="A55" s="21"/>
      <c r="B55" s="21"/>
      <c r="C55" s="21"/>
      <c r="D55" s="21"/>
      <c r="E55" s="29">
        <f t="shared" si="11"/>
        <v>0</v>
      </c>
      <c r="F55" s="28">
        <f t="shared" si="10"/>
        <v>164</v>
      </c>
      <c r="G55" s="29">
        <f>IF(AND(ISNUMBER(F55),ISNUMBER(Inputs!$B$15),ISNUMBER(Inputs!$B$17),Inputs!$B$17&gt;0),NORMDIST(F55+0.5,Inputs!$B$15,Inputs!$B$17,TRUE)-NORMDIST(F55-0.5,Inputs!$B$15,Inputs!$B$17,TRUE),0)</f>
        <v>2.2563713902556515E-2</v>
      </c>
      <c r="H55" s="29">
        <f>IF(ISNUMBER(F55),NORMDIST(F55,Inputs!$B$19,MAX(Inputs!$B$17,0.1),FALSE),"")</f>
        <v>1.6686260825249426E-2</v>
      </c>
      <c r="I55" s="29">
        <f>IF(ISNUMBER(F55),NORMDIST(F55,Inputs!$B$15,MAX(Inputs!$B$17,0.1),FALSE),"")</f>
        <v>2.2566444290671426E-2</v>
      </c>
      <c r="J55" s="21"/>
      <c r="K55" s="21"/>
      <c r="L55" s="21"/>
      <c r="M55" s="21"/>
      <c r="N55" s="21"/>
      <c r="O55" s="21"/>
      <c r="P55" s="21"/>
      <c r="Q55" s="21"/>
      <c r="R55" s="21"/>
      <c r="S55" s="21"/>
    </row>
    <row r="56" spans="1:19" x14ac:dyDescent="0.2">
      <c r="A56" s="21"/>
      <c r="B56" s="21"/>
      <c r="C56" s="21"/>
      <c r="D56" s="21"/>
      <c r="E56" s="29">
        <f t="shared" si="11"/>
        <v>0</v>
      </c>
      <c r="F56" s="28">
        <f t="shared" si="10"/>
        <v>164.5</v>
      </c>
      <c r="G56" s="29">
        <f>IF(AND(ISNUMBER(F56),ISNUMBER(Inputs!$B$15),ISNUMBER(Inputs!$B$17),Inputs!$B$17&gt;0),NORMDIST(F56+0.5,Inputs!$B$15,Inputs!$B$17,TRUE)-NORMDIST(F56-0.5,Inputs!$B$15,Inputs!$B$17,TRUE),0)</f>
        <v>2.2081801103365883E-2</v>
      </c>
      <c r="H56" s="29">
        <f>IF(ISNUMBER(F56),NORMDIST(F56,Inputs!$B$19,MAX(Inputs!$B$17,0.1),FALSE),"")</f>
        <v>1.6121301012418838E-2</v>
      </c>
      <c r="I56" s="29">
        <f>IF(ISNUMBER(F56),NORMDIST(F56,Inputs!$B$15,MAX(Inputs!$B$17,0.1),FALSE),"")</f>
        <v>2.2084287573693517E-2</v>
      </c>
      <c r="J56" s="21"/>
      <c r="K56" s="21"/>
      <c r="L56" s="21"/>
      <c r="M56" s="21"/>
      <c r="N56" s="21"/>
      <c r="O56" s="21"/>
      <c r="P56" s="21"/>
      <c r="Q56" s="21"/>
      <c r="R56" s="21"/>
      <c r="S56" s="21"/>
    </row>
    <row r="57" spans="1:19" x14ac:dyDescent="0.2">
      <c r="A57" s="21"/>
      <c r="B57" s="21"/>
      <c r="C57" s="21"/>
      <c r="D57" s="21"/>
      <c r="E57" s="29">
        <f t="shared" si="11"/>
        <v>0</v>
      </c>
      <c r="F57" s="28">
        <f t="shared" si="10"/>
        <v>165</v>
      </c>
      <c r="G57" s="29">
        <f>IF(AND(ISNUMBER(F57),ISNUMBER(Inputs!$B$15),ISNUMBER(Inputs!$B$17),Inputs!$B$17&gt;0),NORMDIST(F57+0.5,Inputs!$B$15,Inputs!$B$17,TRUE)-NORMDIST(F57-0.5,Inputs!$B$15,Inputs!$B$17,TRUE),0)</f>
        <v>2.1584973392636653E-2</v>
      </c>
      <c r="H57" s="29">
        <f>IF(ISNUMBER(F57),NORMDIST(F57,Inputs!$B$19,MAX(Inputs!$B$17,0.1),FALSE),"")</f>
        <v>1.5557294163563565E-2</v>
      </c>
      <c r="I57" s="29">
        <f>IF(ISNUMBER(F57),NORMDIST(F57,Inputs!$B$15,MAX(Inputs!$B$17,0.1),FALSE),"")</f>
        <v>2.1587212686372838E-2</v>
      </c>
      <c r="J57" s="21"/>
      <c r="K57" s="21"/>
      <c r="L57" s="21"/>
      <c r="M57" s="21"/>
      <c r="N57" s="21"/>
      <c r="O57" s="21"/>
      <c r="P57" s="21"/>
      <c r="Q57" s="21"/>
      <c r="R57" s="21"/>
      <c r="S57" s="21"/>
    </row>
    <row r="58" spans="1:19" x14ac:dyDescent="0.2">
      <c r="A58" s="21"/>
      <c r="B58" s="21"/>
      <c r="C58" s="21"/>
      <c r="D58" s="21"/>
      <c r="E58" s="29">
        <f t="shared" si="11"/>
        <v>0</v>
      </c>
      <c r="F58" s="28">
        <f t="shared" si="10"/>
        <v>165.5</v>
      </c>
      <c r="G58" s="29">
        <f>IF(AND(ISNUMBER(F58),ISNUMBER(Inputs!$B$15),ISNUMBER(Inputs!$B$17),Inputs!$B$17&gt;0),NORMDIST(F58+0.5,Inputs!$B$15,Inputs!$B$17,TRUE)-NORMDIST(F58-0.5,Inputs!$B$15,Inputs!$B$17,TRUE),0)</f>
        <v>2.1074712373223226E-2</v>
      </c>
      <c r="H58" s="29">
        <f>IF(ISNUMBER(F58),NORMDIST(F58,Inputs!$B$19,MAX(Inputs!$B$17,0.1),FALSE),"")</f>
        <v>1.4995500215006716E-2</v>
      </c>
      <c r="I58" s="29">
        <f>IF(ISNUMBER(F58),NORMDIST(F58,Inputs!$B$15,MAX(Inputs!$B$17,0.1),FALSE),"")</f>
        <v>2.1076702445358222E-2</v>
      </c>
      <c r="J58" s="21"/>
      <c r="K58" s="21"/>
      <c r="L58" s="21"/>
      <c r="M58" s="21"/>
      <c r="N58" s="21"/>
      <c r="O58" s="21"/>
      <c r="P58" s="21"/>
      <c r="Q58" s="21"/>
      <c r="R58" s="21"/>
      <c r="S58" s="21"/>
    </row>
    <row r="59" spans="1:19" x14ac:dyDescent="0.2">
      <c r="A59" s="21"/>
      <c r="B59" s="21"/>
      <c r="C59" s="21"/>
      <c r="D59" s="21"/>
      <c r="E59" s="29">
        <f t="shared" si="11"/>
        <v>0</v>
      </c>
      <c r="F59" s="28">
        <f t="shared" si="10"/>
        <v>166</v>
      </c>
      <c r="G59" s="29">
        <f>IF(AND(ISNUMBER(F59),ISNUMBER(Inputs!$B$15),ISNUMBER(Inputs!$B$17),Inputs!$B$17&gt;0),NORMDIST(F59+0.5,Inputs!$B$15,Inputs!$B$17,TRUE)-NORMDIST(F59-0.5,Inputs!$B$15,Inputs!$B$17,TRUE),0)</f>
        <v>2.0552511937499962E-2</v>
      </c>
      <c r="H59" s="29">
        <f>IF(ISNUMBER(F59),NORMDIST(F59,Inputs!$B$19,MAX(Inputs!$B$17,0.1),FALSE),"")</f>
        <v>1.4437126719573611E-2</v>
      </c>
      <c r="I59" s="29">
        <f>IF(ISNUMBER(F59),NORMDIST(F59,Inputs!$B$15,MAX(Inputs!$B$17,0.1),FALSE),"")</f>
        <v>2.0554251940605544E-2</v>
      </c>
      <c r="J59" s="21"/>
      <c r="K59" s="21"/>
      <c r="L59" s="21"/>
      <c r="M59" s="21"/>
      <c r="N59" s="21"/>
      <c r="O59" s="21"/>
      <c r="P59" s="21"/>
      <c r="Q59" s="21"/>
      <c r="R59" s="21"/>
      <c r="S59" s="21"/>
    </row>
    <row r="60" spans="1:19" x14ac:dyDescent="0.2">
      <c r="A60" s="21"/>
      <c r="B60" s="21"/>
      <c r="C60" s="21"/>
      <c r="D60" s="21"/>
      <c r="E60" s="29">
        <f t="shared" si="11"/>
        <v>0</v>
      </c>
      <c r="F60" s="28">
        <f t="shared" si="10"/>
        <v>166.5</v>
      </c>
      <c r="G60" s="29">
        <f>IF(AND(ISNUMBER(F60),ISNUMBER(Inputs!$B$15),ISNUMBER(Inputs!$B$17),Inputs!$B$17&gt;0),NORMDIST(F60+0.5,Inputs!$B$15,Inputs!$B$17,TRUE)-NORMDIST(F60-0.5,Inputs!$B$15,Inputs!$B$17,TRUE),0)</f>
        <v>2.0019871091347063E-2</v>
      </c>
      <c r="H60" s="29">
        <f>IF(ISNUMBER(F60),NORMDIST(F60,Inputs!$B$19,MAX(Inputs!$B$17,0.1),FALSE),"")</f>
        <v>1.3883325205004581E-2</v>
      </c>
      <c r="I60" s="29">
        <f>IF(ISNUMBER(F60),NORMDIST(F60,Inputs!$B$15,MAX(Inputs!$B$17,0.1),FALSE),"")</f>
        <v>2.0021361351467377E-2</v>
      </c>
      <c r="J60" s="21"/>
      <c r="K60" s="21"/>
      <c r="L60" s="21"/>
      <c r="M60" s="21"/>
      <c r="N60" s="21"/>
      <c r="O60" s="21"/>
      <c r="P60" s="21"/>
      <c r="Q60" s="21"/>
      <c r="R60" s="21"/>
      <c r="S60" s="21"/>
    </row>
    <row r="61" spans="1:19" x14ac:dyDescent="0.2">
      <c r="A61" s="21"/>
      <c r="B61" s="21"/>
      <c r="C61" s="21"/>
      <c r="D61" s="21"/>
      <c r="E61" s="29">
        <f t="shared" si="11"/>
        <v>0</v>
      </c>
      <c r="F61" s="28">
        <f t="shared" si="10"/>
        <v>167</v>
      </c>
      <c r="G61" s="29">
        <f>IF(AND(ISNUMBER(F61),ISNUMBER(Inputs!$B$15),ISNUMBER(Inputs!$B$17),Inputs!$B$17&gt;0),NORMDIST(F61+0.5,Inputs!$B$15,Inputs!$B$17,TRUE)-NORMDIST(F61-0.5,Inputs!$B$15,Inputs!$B$17,TRUE),0)</f>
        <v>1.9478286922333443E-2</v>
      </c>
      <c r="H61" s="29">
        <f>IF(ISNUMBER(F61),NORMDIST(F61,Inputs!$B$19,MAX(Inputs!$B$17,0.1),FALSE),"")</f>
        <v>1.333518798655447E-2</v>
      </c>
      <c r="I61" s="29">
        <f>IF(ISNUMBER(F61),NORMDIST(F61,Inputs!$B$15,MAX(Inputs!$B$17,0.1),FALSE),"")</f>
        <v>1.9479528907363524E-2</v>
      </c>
      <c r="J61" s="21"/>
      <c r="K61" s="21"/>
      <c r="L61" s="21"/>
      <c r="M61" s="21"/>
      <c r="N61" s="21"/>
      <c r="O61" s="21"/>
      <c r="P61" s="21"/>
      <c r="Q61" s="21"/>
      <c r="R61" s="21"/>
      <c r="S61" s="21"/>
    </row>
    <row r="62" spans="1:19" x14ac:dyDescent="0.2">
      <c r="A62" s="21"/>
      <c r="B62" s="21"/>
      <c r="C62" s="21"/>
      <c r="D62" s="21"/>
      <c r="E62" s="29">
        <f t="shared" si="11"/>
        <v>0</v>
      </c>
      <c r="F62" s="28">
        <f t="shared" si="10"/>
        <v>167.5</v>
      </c>
      <c r="G62" s="29">
        <f>IF(AND(ISNUMBER(F62),ISNUMBER(Inputs!$B$15),ISNUMBER(Inputs!$B$17),Inputs!$B$17&gt;0),NORMDIST(F62+0.5,Inputs!$B$15,Inputs!$B$17,TRUE)-NORMDIST(F62-0.5,Inputs!$B$15,Inputs!$B$17,TRUE),0)</f>
        <v>1.8929247757092815E-2</v>
      </c>
      <c r="H62" s="29">
        <f>IF(ISNUMBER(F62),NORMDIST(F62,Inputs!$B$19,MAX(Inputs!$B$17,0.1),FALSE),"")</f>
        <v>1.279374543876023E-2</v>
      </c>
      <c r="I62" s="29">
        <f>IF(ISNUMBER(F62),NORMDIST(F62,Inputs!$B$15,MAX(Inputs!$B$17,0.1),FALSE),"")</f>
        <v>1.8930244038090516E-2</v>
      </c>
      <c r="J62" s="21"/>
      <c r="K62" s="21"/>
      <c r="L62" s="21"/>
      <c r="M62" s="21"/>
      <c r="N62" s="21"/>
      <c r="O62" s="21"/>
      <c r="P62" s="21"/>
      <c r="Q62" s="21"/>
      <c r="R62" s="21"/>
      <c r="S62" s="21"/>
    </row>
  </sheetData>
  <mergeCells count="1">
    <mergeCell ref="A1:S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30"/>
  <sheetViews>
    <sheetView workbookViewId="0">
      <pane ySplit="2" topLeftCell="A3" activePane="bottomLeft" state="frozen"/>
      <selection pane="bottomLeft" activeCell="F3" sqref="F3:F6"/>
    </sheetView>
  </sheetViews>
  <sheetFormatPr baseColWidth="10" defaultColWidth="8.83203125" defaultRowHeight="15" x14ac:dyDescent="0.2"/>
  <cols>
    <col min="1" max="1" width="28" customWidth="1"/>
    <col min="2" max="2" width="16" customWidth="1"/>
    <col min="3" max="3" width="14" customWidth="1"/>
    <col min="5" max="5" width="26" customWidth="1"/>
    <col min="6" max="6" width="14" customWidth="1"/>
  </cols>
  <sheetData>
    <row r="1" spans="1:6" ht="19" customHeight="1" x14ac:dyDescent="0.25">
      <c r="A1" s="46" t="s">
        <v>800</v>
      </c>
      <c r="B1" s="47"/>
      <c r="C1" s="47"/>
      <c r="D1" s="47"/>
      <c r="E1" s="47"/>
      <c r="F1" s="47"/>
    </row>
    <row r="3" spans="1:6" x14ac:dyDescent="0.2">
      <c r="A3" s="17" t="s">
        <v>764</v>
      </c>
      <c r="B3" s="21" t="str">
        <f>GamePick_ModeA!$B$4</f>
        <v>2026-03-15</v>
      </c>
      <c r="E3" s="17" t="s">
        <v>801</v>
      </c>
      <c r="F3" s="32">
        <f>AVERAGE(BlendedRatings!E2:E1000)</f>
        <v>109.40536657534258</v>
      </c>
    </row>
    <row r="4" spans="1:6" x14ac:dyDescent="0.2">
      <c r="A4" s="17" t="s">
        <v>765</v>
      </c>
      <c r="B4" s="21" t="str">
        <f>GamePick_ModeA!$B$5</f>
        <v>Purdue</v>
      </c>
      <c r="E4" s="17" t="s">
        <v>802</v>
      </c>
      <c r="F4" s="32">
        <f>AVERAGE(BlendedRatings!F2:F1000)</f>
        <v>109.40536904109595</v>
      </c>
    </row>
    <row r="5" spans="1:6" x14ac:dyDescent="0.2">
      <c r="A5" s="17" t="s">
        <v>766</v>
      </c>
      <c r="B5" s="21" t="str">
        <f>GamePick_ModeA!$B$6</f>
        <v>Michigan</v>
      </c>
      <c r="E5" s="17" t="s">
        <v>803</v>
      </c>
      <c r="F5" s="32">
        <f>AVERAGE(BlendedRatings!G2:G1000)</f>
        <v>67.355931780821962</v>
      </c>
    </row>
    <row r="6" spans="1:6" x14ac:dyDescent="0.2">
      <c r="A6" s="17" t="s">
        <v>767</v>
      </c>
      <c r="B6" s="21" t="str">
        <f>GamePick_ModeA!$B$7</f>
        <v>H</v>
      </c>
      <c r="E6" s="17" t="s">
        <v>804</v>
      </c>
      <c r="F6" s="25">
        <v>1.5</v>
      </c>
    </row>
    <row r="7" spans="1:6" x14ac:dyDescent="0.2">
      <c r="A7" s="17" t="s">
        <v>805</v>
      </c>
      <c r="B7" s="27">
        <f>IF(AND(ISNUMBER(C7),ISNUMBER(C10),C7&gt;0,C10&gt;0,ISNUMBER($F$5)),0.85*(2/(1/C7+1/C10))+0.15*$F$5+IFERROR(INDEX(GameInputs!$K:$K,GamePick_ModeA!$B$2+1),0)+IFERROR(INDEX(GameInputs!$L:$L,GamePick_ModeA!$B$2+1),0),"")</f>
        <v>67.886499752434048</v>
      </c>
      <c r="C7">
        <f>IFERROR(INDEX(BlendedRatings!$G:$G,MATCH($B$4,BlendedRatings!$A:$A,0)),"")</f>
        <v>64.792199999999994</v>
      </c>
      <c r="E7" s="17" t="s">
        <v>806</v>
      </c>
      <c r="F7" s="25">
        <v>0.25</v>
      </c>
    </row>
    <row r="8" spans="1:6" x14ac:dyDescent="0.2">
      <c r="A8" s="17" t="s">
        <v>807</v>
      </c>
      <c r="B8" s="27">
        <f>IF(AND(ISNUMBER(C8),ISNUMBER(C12),ISNUMBER($F$3),ISNUMBER($F$4)),$F$3+0.55*(C8-$F$3)+0.45*(C12-$F$4)+IF(OR($B$6="H",$B$6="Home",$B$6="home"),$F$6,IF(OR($B$6="A",$B$6="Away",$B$6="away"),-$F$6,0))+$F$7*($B$10-$B$11)+IFERROR(INDEX(GameInputs!$I:$I,GamePick_ModeA!$B$2+1),0),"")</f>
        <v>113.60789613570165</v>
      </c>
      <c r="C8">
        <f>IFERROR(INDEX(BlendedRatings!$E:$E,MATCH($B$4,BlendedRatings!$A:$A,0)),"")</f>
        <v>130.88</v>
      </c>
      <c r="E8" s="17" t="s">
        <v>808</v>
      </c>
      <c r="F8" s="25">
        <v>11</v>
      </c>
    </row>
    <row r="9" spans="1:6" x14ac:dyDescent="0.2">
      <c r="A9" s="17" t="s">
        <v>809</v>
      </c>
      <c r="B9" s="27">
        <f>IF(AND(ISNUMBER(C11),ISNUMBER(C9),ISNUMBER($F$3),ISNUMBER($F$4)),$F$3+0.55*(C11-$F$3)+0.45*(C9-$F$4)-IF(OR($B$6="H",$B$6="Home",$B$6="home"),$F$6,IF(OR($B$6="A",$B$6="Away",$B$6="away"),-$F$6,0))+$F$7*($B$11-$B$10)+IFERROR(INDEX(GameInputs!$J:$J,GamePick_ModeA!$B$2+1),0),"")</f>
        <v>114.71625164512032</v>
      </c>
      <c r="C9">
        <f>IFERROR(INDEX(BlendedRatings!$F:$F,MATCH($B$4,BlendedRatings!$A:$A,0)),"")</f>
        <v>101.30800000000001</v>
      </c>
      <c r="E9" s="17" t="s">
        <v>810</v>
      </c>
      <c r="F9" s="25">
        <v>0.2</v>
      </c>
    </row>
    <row r="10" spans="1:6" x14ac:dyDescent="0.2">
      <c r="A10" s="17" t="s">
        <v>769</v>
      </c>
      <c r="B10" s="27">
        <f>GamePick_ModeA!$B$10</f>
        <v>1.11889811626495E-2</v>
      </c>
      <c r="C10">
        <f>IFERROR(INDEX(BlendedRatings!$G:$G,MATCH($B$5,BlendedRatings!$A:$A,0)),"")</f>
        <v>71.498000000000005</v>
      </c>
      <c r="E10" s="17" t="s">
        <v>811</v>
      </c>
      <c r="F10" s="25">
        <v>14.5</v>
      </c>
    </row>
    <row r="11" spans="1:6" x14ac:dyDescent="0.2">
      <c r="A11" s="17" t="s">
        <v>770</v>
      </c>
      <c r="B11" s="21">
        <f>GamePick_ModeA!$B$11</f>
        <v>0</v>
      </c>
      <c r="C11">
        <f>IFERROR(INDEX(BlendedRatings!$E:$E,MATCH($B$5,BlendedRatings!$A:$A,0)),"")</f>
        <v>128.41900000000001</v>
      </c>
      <c r="E11" s="17" t="s">
        <v>812</v>
      </c>
      <c r="F11" s="25">
        <v>0.25</v>
      </c>
    </row>
    <row r="12" spans="1:6" x14ac:dyDescent="0.2">
      <c r="A12" s="17" t="s">
        <v>813</v>
      </c>
      <c r="B12" s="37">
        <f>IF(AND(ISNUMBER($B$7),ISNUMBER($B$8)),$B$7*$B$8/100,"")</f>
        <v>77.124424128908629</v>
      </c>
      <c r="C12">
        <f>IFERROR(INDEX(BlendedRatings!$F:$F,MATCH($B$5,BlendedRatings!$A:$A,0)),"")</f>
        <v>89.158000000000001</v>
      </c>
    </row>
    <row r="13" spans="1:6" x14ac:dyDescent="0.2">
      <c r="A13" s="17" t="s">
        <v>814</v>
      </c>
      <c r="B13" s="37">
        <f>IF(AND(ISNUMBER($B$7),ISNUMBER($B$9)),$B$7*$B$9/100,"")</f>
        <v>77.876847889066227</v>
      </c>
      <c r="D13" t="s">
        <v>815</v>
      </c>
    </row>
    <row r="14" spans="1:6" x14ac:dyDescent="0.2">
      <c r="A14" s="17" t="s">
        <v>816</v>
      </c>
      <c r="B14" s="27">
        <f>IF(AND(ISNUMBER($B$12),ISNUMBER($B$13)),$B$12-$B$13,"")</f>
        <v>-0.7524237601575976</v>
      </c>
      <c r="D14" t="s">
        <v>817</v>
      </c>
    </row>
    <row r="15" spans="1:6" x14ac:dyDescent="0.2">
      <c r="A15" s="17" t="s">
        <v>818</v>
      </c>
      <c r="B15" s="27">
        <f>IF(AND(ISNUMBER($B$12),ISNUMBER($B$13)),$B$12+$B$13,"")</f>
        <v>155.00127201797486</v>
      </c>
      <c r="D15" t="s">
        <v>819</v>
      </c>
    </row>
    <row r="16" spans="1:6" x14ac:dyDescent="0.2">
      <c r="A16" s="17" t="s">
        <v>820</v>
      </c>
      <c r="B16" s="27">
        <f>IF(ISNUMBER($B$14),$F$8+$F$9*ABS($B$10-$B$11),"")</f>
        <v>11.00223779623253</v>
      </c>
    </row>
    <row r="17" spans="1:2" x14ac:dyDescent="0.2">
      <c r="A17" s="17" t="s">
        <v>821</v>
      </c>
      <c r="B17" s="27">
        <f>IF(ISNUMBER($B$15),$F$10+$F$11*ABS($B$7-$F$5),"")</f>
        <v>14.632641992903022</v>
      </c>
    </row>
    <row r="18" spans="1:2" x14ac:dyDescent="0.2">
      <c r="A18" s="17" t="s">
        <v>822</v>
      </c>
      <c r="B18" s="27">
        <f>GamePick_ModeA!$B$8</f>
        <v>5.5</v>
      </c>
    </row>
    <row r="19" spans="1:2" x14ac:dyDescent="0.2">
      <c r="A19" s="17" t="s">
        <v>740</v>
      </c>
      <c r="B19" s="27">
        <f>GamePick_ModeA!$B$9</f>
        <v>149.5</v>
      </c>
    </row>
    <row r="20" spans="1:2" x14ac:dyDescent="0.2">
      <c r="A20" s="17" t="s">
        <v>741</v>
      </c>
      <c r="B20" s="30">
        <f>IF(AND(ISNUMBER($B$14),ISNUMBER($B$16),$B$16&gt;0),1-NORMDIST(0,$B$14,$B$16,TRUE),"")</f>
        <v>0.47273828857911138</v>
      </c>
    </row>
    <row r="21" spans="1:2" x14ac:dyDescent="0.2">
      <c r="A21" s="17" t="s">
        <v>746</v>
      </c>
      <c r="B21" s="30">
        <f>IF(AND(ISNUMBER($B$18),ISNUMBER($B$14),ISNUMBER($B$16),$B$16&gt;0),1-NORMDIST(-$B$18,$B$14,$B$16,TRUE),"")</f>
        <v>0.66695122857002942</v>
      </c>
    </row>
    <row r="22" spans="1:2" x14ac:dyDescent="0.2">
      <c r="A22" s="17" t="s">
        <v>751</v>
      </c>
      <c r="B22" s="30">
        <f>IF(AND(ISNUMBER($B$19),ISNUMBER($B$15),ISNUMBER($B$17),$B$17&gt;0),1-NORMDIST($B$19,$B$15,$B$17,TRUE),"")</f>
        <v>0.64652627513382999</v>
      </c>
    </row>
    <row r="23" spans="1:2" x14ac:dyDescent="0.2">
      <c r="A23" s="17" t="s">
        <v>823</v>
      </c>
      <c r="B23" s="31">
        <f>IF(AND(ISNUMBER($B$18),ISNUMBER($B$14)),$B$18-(-$B$14),"")</f>
        <v>4.7475762398424024</v>
      </c>
    </row>
    <row r="24" spans="1:2" x14ac:dyDescent="0.2">
      <c r="A24" s="17" t="s">
        <v>750</v>
      </c>
      <c r="B24" s="31">
        <f>IF(AND(ISNUMBER($B$15),ISNUMBER($B$19)),$B$15-$B$19,"")</f>
        <v>5.5012720179748555</v>
      </c>
    </row>
    <row r="25" spans="1:2" x14ac:dyDescent="0.2">
      <c r="A25" s="17" t="s">
        <v>824</v>
      </c>
      <c r="B25" s="31">
        <f>IF(AND(ISNUMBER($B$20),$B$20&gt;0.0005,$B$20&lt;0.9995),1/$B$20,"")</f>
        <v>2.1153353222258682</v>
      </c>
    </row>
    <row r="26" spans="1:2" x14ac:dyDescent="0.2">
      <c r="A26" s="17" t="s">
        <v>825</v>
      </c>
      <c r="B26" s="15">
        <f>IF(AND(ISNUMBER($B$20),$B$20&gt;0.01,$B$20&lt;0.99),MAX(-5000,MIN(5000,IF($B$20&gt;=0.5,-100*$B$20/(1-$B$20),100*(1-$B$20)/$B$20))),"")</f>
        <v>111.5335322225868</v>
      </c>
    </row>
    <row r="27" spans="1:2" x14ac:dyDescent="0.2">
      <c r="A27" s="17" t="s">
        <v>826</v>
      </c>
      <c r="B27" s="31">
        <f>IF(AND(ISNUMBER($B$21),$B$21&gt;0.0005,$B$21&lt;0.9995),1/$B$21,"")</f>
        <v>1.4993600088930652</v>
      </c>
    </row>
    <row r="28" spans="1:2" x14ac:dyDescent="0.2">
      <c r="A28" s="17" t="s">
        <v>827</v>
      </c>
      <c r="B28" s="15">
        <f>IF(AND(ISNUMBER($B$21),$B$21&gt;0.01,$B$21&lt;0.99),MAX(-5000,MIN(5000,IF($B$21&gt;=0.5,-100*$B$21/(1-$B$21),100*(1-$B$21)/$B$21))),"")</f>
        <v>-200.25632453361797</v>
      </c>
    </row>
    <row r="29" spans="1:2" x14ac:dyDescent="0.2">
      <c r="A29" s="17" t="s">
        <v>828</v>
      </c>
      <c r="B29" s="31">
        <f>IF(AND(ISNUMBER($B$22),$B$22&gt;0.0005,$B$22&lt;0.9995),1/$B$22,"")</f>
        <v>1.5467275476050861</v>
      </c>
    </row>
    <row r="30" spans="1:2" x14ac:dyDescent="0.2">
      <c r="A30" s="17" t="s">
        <v>829</v>
      </c>
      <c r="B30" s="15">
        <f>IF(AND(ISNUMBER($B$22),$B$22&gt;0.01,$B$22&lt;0.99),MAX(-5000,MIN(5000,IF($B$22&gt;=0.5,-100*$B$22/(1-$B$22),100*(1-$B$22)/$B$22))),"")</f>
        <v>-182.90645942031861</v>
      </c>
    </row>
  </sheetData>
  <mergeCells count="1">
    <mergeCell ref="A1:F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F22"/>
  <sheetViews>
    <sheetView showGridLines="0" workbookViewId="0">
      <pane ySplit="1" topLeftCell="A2" activePane="bottomLeft" state="frozen"/>
      <selection pane="bottomLeft" activeCell="D5" sqref="D5"/>
    </sheetView>
  </sheetViews>
  <sheetFormatPr baseColWidth="10" defaultColWidth="8.83203125" defaultRowHeight="15" x14ac:dyDescent="0.2"/>
  <cols>
    <col min="1" max="1" width="8" customWidth="1"/>
    <col min="2" max="2" width="12" customWidth="1"/>
    <col min="3" max="4" width="24" bestFit="1" customWidth="1"/>
    <col min="5" max="5" width="8" customWidth="1"/>
    <col min="6" max="6" width="12" customWidth="1"/>
    <col min="7" max="7" width="14.83203125" bestFit="1" customWidth="1"/>
    <col min="8" max="8" width="13.5" bestFit="1" customWidth="1"/>
    <col min="9" max="10" width="12" customWidth="1"/>
    <col min="11" max="11" width="11" customWidth="1"/>
    <col min="12" max="12" width="12" customWidth="1"/>
    <col min="13" max="13" width="13" customWidth="1"/>
    <col min="14" max="14" width="10" customWidth="1"/>
    <col min="15" max="21" width="12" customWidth="1"/>
    <col min="22" max="32" width="13" hidden="1" customWidth="1"/>
  </cols>
  <sheetData>
    <row r="1" spans="1:32" x14ac:dyDescent="0.2">
      <c r="A1" s="11" t="s">
        <v>754</v>
      </c>
      <c r="B1" s="11" t="s">
        <v>764</v>
      </c>
      <c r="C1" s="11" t="s">
        <v>766</v>
      </c>
      <c r="D1" s="11" t="s">
        <v>765</v>
      </c>
      <c r="E1" s="11" t="s">
        <v>767</v>
      </c>
      <c r="F1" s="11" t="s">
        <v>739</v>
      </c>
      <c r="G1" s="11" t="s">
        <v>816</v>
      </c>
      <c r="H1" s="11" t="s">
        <v>823</v>
      </c>
      <c r="I1" s="11" t="s">
        <v>740</v>
      </c>
      <c r="J1" s="11" t="s">
        <v>818</v>
      </c>
      <c r="K1" s="11" t="s">
        <v>750</v>
      </c>
      <c r="L1" s="11" t="s">
        <v>741</v>
      </c>
      <c r="M1" s="11" t="s">
        <v>746</v>
      </c>
      <c r="N1" s="11" t="s">
        <v>751</v>
      </c>
      <c r="O1" s="11" t="s">
        <v>777</v>
      </c>
      <c r="P1" s="11" t="s">
        <v>742</v>
      </c>
      <c r="Q1" s="11" t="s">
        <v>830</v>
      </c>
      <c r="R1" s="11" t="s">
        <v>831</v>
      </c>
      <c r="S1" s="11" t="s">
        <v>832</v>
      </c>
      <c r="T1" s="11" t="s">
        <v>833</v>
      </c>
      <c r="U1" s="11" t="s">
        <v>790</v>
      </c>
      <c r="V1" t="s">
        <v>834</v>
      </c>
      <c r="W1" t="s">
        <v>835</v>
      </c>
      <c r="X1" t="s">
        <v>836</v>
      </c>
      <c r="Y1" t="s">
        <v>837</v>
      </c>
      <c r="Z1" t="s">
        <v>838</v>
      </c>
      <c r="AA1" t="s">
        <v>839</v>
      </c>
      <c r="AB1" t="s">
        <v>840</v>
      </c>
      <c r="AC1" t="s">
        <v>841</v>
      </c>
      <c r="AD1" t="s">
        <v>842</v>
      </c>
      <c r="AE1" t="s">
        <v>820</v>
      </c>
      <c r="AF1" t="s">
        <v>821</v>
      </c>
    </row>
    <row r="2" spans="1:32" x14ac:dyDescent="0.2">
      <c r="A2" s="21">
        <v>1</v>
      </c>
      <c r="B2" s="21" t="str">
        <f>INDEX(GameInputs!$A:$A,$A2+1)</f>
        <v>2026-03-15</v>
      </c>
      <c r="C2" s="21" t="str">
        <f>INDEX(GameInputs!$C:$C,$A2+1)</f>
        <v>Michigan</v>
      </c>
      <c r="D2" s="21" t="str">
        <f>INDEX(GameInputs!$B:$B,$A2+1)</f>
        <v>Purdue</v>
      </c>
      <c r="E2" s="21" t="str">
        <f>INDEX(GameInputs!$D:$D,$A2+1)</f>
        <v>H</v>
      </c>
      <c r="F2" s="27">
        <f>INDEX(GameInputs!$E:$E,$A2+1)</f>
        <v>5.5</v>
      </c>
      <c r="G2" s="27">
        <f t="shared" ref="G2:G22" si="0">IF(AND(ISNUMBER(AB2),ISNUMBER(AC2),ISNUMBER(AD2)),AB2*(AC2-AD2)/100,"")</f>
        <v>-0.75242376015759604</v>
      </c>
      <c r="H2" s="27">
        <f t="shared" ref="H2:H22" si="1">IF(AND(ISNUMBER(F2),ISNUMBER(G2)),F2-(-G2),"")</f>
        <v>4.7475762398424042</v>
      </c>
      <c r="I2" s="27">
        <f>INDEX(GameInputs!$F:$F,$A2+1)</f>
        <v>149.5</v>
      </c>
      <c r="J2" s="27">
        <f t="shared" ref="J2:J22" si="2">IF(AND(ISNUMBER(AB2),ISNUMBER(AC2),ISNUMBER(AD2)),AB2*(AC2+AD2)/100,"")</f>
        <v>155.00127201797486</v>
      </c>
      <c r="K2" s="27">
        <f t="shared" ref="K2:K22" si="3">IF(AND(ISNUMBER(I2),ISNUMBER(J2)),J2-I2,"")</f>
        <v>5.5012720179748555</v>
      </c>
      <c r="L2" s="29">
        <f t="shared" ref="L2:L22" si="4">IF(AND(ISNUMBER(G2),ISNUMBER(AE2),AE2&gt;0),1-NORMDIST(0,G2,AE2,TRUE),"")</f>
        <v>0.47273828857911138</v>
      </c>
      <c r="M2" s="29">
        <f t="shared" ref="M2:M22" si="5">IF(AND(ISNUMBER(F2),ISNUMBER(G2),ISNUMBER(AE2),AE2&gt;0),1-NORMDIST(-F2,G2,AE2,TRUE),"")</f>
        <v>0.66695122857002942</v>
      </c>
      <c r="N2" s="29">
        <f t="shared" ref="N2:N22" si="6">IF(AND(ISNUMBER(I2),ISNUMBER(J2),ISNUMBER(AF2),AF2&gt;0),1-NORMDIST(I2,J2,AF2,TRUE),"")</f>
        <v>0.64652627513382999</v>
      </c>
      <c r="O2" s="27">
        <f t="shared" ref="O2:O22" si="7">IF(AND(ISNUMBER(L2),L2&gt;0.0005,L2&lt;0.9995),1/L2,"")</f>
        <v>2.1153353222258682</v>
      </c>
      <c r="P2" s="28">
        <f t="shared" ref="P2:P22" si="8">IF(AND(ISNUMBER(L2),L2&gt;0.01,L2&lt;0.99),MAX(-5000,MIN(5000,IF(L2&gt;=0.5,-100*L2/(1-L2),100*(1-L2)/L2))),"")</f>
        <v>111.5335322225868</v>
      </c>
      <c r="Q2" s="27">
        <f t="shared" ref="Q2:Q22" si="9">IF(AND(ISNUMBER(M2),M2&gt;0.0005,M2&lt;0.9995),1/M2,"")</f>
        <v>1.4993600088930652</v>
      </c>
      <c r="R2" s="28">
        <f t="shared" ref="R2:R22" si="10">IF(AND(ISNUMBER(M2),M2&gt;0.01,M2&lt;0.99),MAX(-5000,MIN(5000,IF(M2&gt;=0.5,-100*M2/(1-M2),100*(1-M2)/M2))),"")</f>
        <v>-200.25632453361797</v>
      </c>
      <c r="S2" s="27">
        <f t="shared" ref="S2:S22" si="11">IF(AND(ISNUMBER(N2),N2&gt;0.0005,N2&lt;0.9995),1/N2,"")</f>
        <v>1.5467275476050861</v>
      </c>
      <c r="T2" s="28">
        <f t="shared" ref="T2:T22" si="12">IF(AND(ISNUMBER(N2),N2&gt;0.01,N2&lt;0.99),MAX(-5000,MIN(5000,IF(N2&gt;=0.5,-100*N2/(1-N2),100*(1-N2)/N2))),"")</f>
        <v>-182.90645942031861</v>
      </c>
      <c r="U2" s="29">
        <f t="shared" ref="U2:U22" si="13">IF(AND(ISNUMBER(H2),ISNUMBER(K2)),MIN(1,(ABS(H2)/3)+(ABS(K2)/8)),"")</f>
        <v>1</v>
      </c>
      <c r="V2">
        <f>IFERROR(INDEX(BlendedRatings!$E:$E,MATCH($D2,BlendedRatings!$A:$A,0)),"")</f>
        <v>130.88</v>
      </c>
      <c r="W2">
        <f>IFERROR(INDEX(BlendedRatings!$F:$F,MATCH($D2,BlendedRatings!$A:$A,0)),"")</f>
        <v>101.30800000000001</v>
      </c>
      <c r="X2">
        <f>IFERROR(INDEX(BlendedRatings!$G:$G,MATCH($D2,BlendedRatings!$A:$A,0)),"")</f>
        <v>64.792199999999994</v>
      </c>
      <c r="Y2">
        <f>IFERROR(INDEX(BlendedRatings!$E:$E,MATCH($C2,BlendedRatings!$A:$A,0)),"")</f>
        <v>128.41900000000001</v>
      </c>
      <c r="Z2">
        <f>IFERROR(INDEX(BlendedRatings!$F:$F,MATCH($C2,BlendedRatings!$A:$A,0)),"")</f>
        <v>89.158000000000001</v>
      </c>
      <c r="AA2">
        <f>IFERROR(INDEX(BlendedRatings!$G:$G,MATCH($C2,BlendedRatings!$A:$A,0)),"")</f>
        <v>71.498000000000005</v>
      </c>
      <c r="AB2">
        <f>IF(AND(ISNUMBER(X2),ISNUMBER(AA2),X2&gt;0,AA2&gt;0,ISNUMBER(Inputs!$F$5)),0.85*(2/(1/X2+1/AA2))+0.15*Inputs!$F$5+INDEX(GameInputs!$K:$K,$A2+1)+INDEX(GameInputs!$L:$L,$A2+1),"")</f>
        <v>67.886499752434048</v>
      </c>
      <c r="AC2">
        <f>IF(AND(ISNUMBER(V2),ISNUMBER(Z2),ISNUMBER(Inputs!$F$3),ISNUMBER(Inputs!$F$4)),Inputs!$F$3+0.55*(V2-Inputs!$F$3)+0.45*(Z2-Inputs!$F$4)+IF(OR($E2="H",$E2="Home",$E2="home"),Inputs!$F$6,IF(OR($E2="A",$E2="Away",$E2="away"),-Inputs!$F$6,0))+Inputs!$F$7*(INDEX(GameInputs!$G:$G,$A2+1)-INDEX(GameInputs!$H:$H,$A2+1))+INDEX(GameInputs!$I:$I,$A2+1),"")</f>
        <v>113.60789613570165</v>
      </c>
      <c r="AD2">
        <f>IF(AND(ISNUMBER(Y2),ISNUMBER(W2),ISNUMBER(Inputs!$F$3),ISNUMBER(Inputs!$F$4)),Inputs!$F$3+0.55*(Y2-Inputs!$F$3)+0.45*(W2-Inputs!$F$4)-IF(OR($E2="H",$E2="Home",$E2="home"),Inputs!$F$6,IF(OR($E2="A",$E2="Away",$E2="away"),-Inputs!$F$6,0))+Inputs!$F$7*(INDEX(GameInputs!$H:$H,$A2+1)-INDEX(GameInputs!$G:$G,$A2+1))+INDEX(GameInputs!$J:$J,$A2+1),"")</f>
        <v>114.71625164512032</v>
      </c>
      <c r="AE2">
        <f>IF(ISNUMBER(AB2),Inputs!$F$8+Inputs!$F$9*ABS(INDEX(GameInputs!$G:$G,$A2+1)-INDEX(GameInputs!$H:$H,$A2+1)),"")</f>
        <v>11.00223779623253</v>
      </c>
      <c r="AF2">
        <f>IF(ISNUMBER(AB2),Inputs!$F$10+Inputs!$F$11*ABS(AB2-Inputs!$F$5),"")</f>
        <v>14.632641992903022</v>
      </c>
    </row>
    <row r="3" spans="1:32" x14ac:dyDescent="0.2">
      <c r="A3" s="21">
        <v>2</v>
      </c>
      <c r="B3" s="21" t="str">
        <f>INDEX(GameInputs!$A:$A,$A3+1)</f>
        <v>2026-03-15</v>
      </c>
      <c r="C3" s="21" t="str">
        <f>INDEX(GameInputs!$C:$C,$A3+1)</f>
        <v>Dayton</v>
      </c>
      <c r="D3" s="21" t="str">
        <f>INDEX(GameInputs!$B:$B,$A3+1)</f>
        <v>VCU</v>
      </c>
      <c r="E3" s="21" t="str">
        <f>INDEX(GameInputs!$D:$D,$A3+1)</f>
        <v>H</v>
      </c>
      <c r="F3" s="27">
        <f>INDEX(GameInputs!$E:$E,$A3+1)</f>
        <v>-12.5</v>
      </c>
      <c r="G3" s="27">
        <f t="shared" si="0"/>
        <v>4.4834570623862273</v>
      </c>
      <c r="H3" s="27">
        <f t="shared" si="1"/>
        <v>-8.0165429376137727</v>
      </c>
      <c r="I3" s="27">
        <f>INDEX(GameInputs!$F:$F,$A3+1)</f>
        <v>137.5</v>
      </c>
      <c r="J3" s="27">
        <f t="shared" si="2"/>
        <v>148.89154384602838</v>
      </c>
      <c r="K3" s="27">
        <f t="shared" si="3"/>
        <v>11.391543846028384</v>
      </c>
      <c r="L3" s="29">
        <f t="shared" si="4"/>
        <v>0.65816856367913013</v>
      </c>
      <c r="M3" s="29">
        <f t="shared" si="5"/>
        <v>0.23313319294154045</v>
      </c>
      <c r="N3" s="29">
        <f t="shared" si="6"/>
        <v>0.7816583550119458</v>
      </c>
      <c r="O3" s="27">
        <f t="shared" si="7"/>
        <v>1.519367613685541</v>
      </c>
      <c r="P3" s="28">
        <f t="shared" si="8"/>
        <v>-192.54184774899446</v>
      </c>
      <c r="Q3" s="27">
        <f t="shared" si="9"/>
        <v>4.2893934895437908</v>
      </c>
      <c r="R3" s="28">
        <f t="shared" si="10"/>
        <v>328.93934895437906</v>
      </c>
      <c r="S3" s="27">
        <f t="shared" si="11"/>
        <v>1.2793313006738314</v>
      </c>
      <c r="T3" s="28">
        <f t="shared" si="12"/>
        <v>-357.99783181752224</v>
      </c>
      <c r="U3" s="29">
        <f t="shared" si="13"/>
        <v>1</v>
      </c>
      <c r="V3">
        <f>IFERROR(INDEX(BlendedRatings!$E:$E,MATCH($D3,BlendedRatings!$A:$A,0)),"")</f>
        <v>120.146</v>
      </c>
      <c r="W3">
        <f>IFERROR(INDEX(BlendedRatings!$F:$F,MATCH($D3,BlendedRatings!$A:$A,0)),"")</f>
        <v>103.339</v>
      </c>
      <c r="X3">
        <f>IFERROR(INDEX(BlendedRatings!$G:$G,MATCH($D3,BlendedRatings!$A:$A,0)),"")</f>
        <v>68.995400000000004</v>
      </c>
      <c r="Y3">
        <f>IFERROR(INDEX(BlendedRatings!$E:$E,MATCH($C3,BlendedRatings!$A:$A,0)),"")</f>
        <v>111.417</v>
      </c>
      <c r="Z3">
        <f>IFERROR(INDEX(BlendedRatings!$F:$F,MATCH($C3,BlendedRatings!$A:$A,0)),"")</f>
        <v>100.651</v>
      </c>
      <c r="AA3">
        <f>IFERROR(INDEX(BlendedRatings!$G:$G,MATCH($C3,BlendedRatings!$A:$A,0)),"")</f>
        <v>67.114099999999993</v>
      </c>
      <c r="AB3">
        <f>IF(AND(ISNUMBER(X3),ISNUMBER(AA3),X3&gt;0,AA3&gt;0,ISNUMBER(Inputs!$F$5)),0.85*(2/(1/X3+1/AA3))+0.15*Inputs!$F$5+INDEX(GameInputs!$K:$K,$A3+1)+INDEX(GameInputs!$L:$L,$A3+1),"")</f>
        <v>67.938875884829983</v>
      </c>
      <c r="AC3">
        <f>IF(AND(ISNUMBER(V3),ISNUMBER(Z3),ISNUMBER(Inputs!$F$3),ISNUMBER(Inputs!$F$4)),Inputs!$F$3+0.55*(V3-Inputs!$F$3)+0.45*(Z3-Inputs!$F$4)+IF(OR($E3="H",$E3="Home",$E3="home"),Inputs!$F$6,IF(OR($E3="A",$E3="Away",$E3="away"),-Inputs!$F$6,0))+Inputs!$F$7*(INDEX(GameInputs!$G:$G,$A3+1)-INDEX(GameInputs!$H:$H,$A3+1))+INDEX(GameInputs!$I:$I,$A3+1),"")</f>
        <v>112.87719947590536</v>
      </c>
      <c r="AD3">
        <f>IF(AND(ISNUMBER(Y3),ISNUMBER(W3),ISNUMBER(Inputs!$F$3),ISNUMBER(Inputs!$F$4)),Inputs!$F$3+0.55*(Y3-Inputs!$F$3)+0.45*(W3-Inputs!$F$4)-IF(OR($E3="H",$E3="Home",$E3="home"),Inputs!$F$6,IF(OR($E3="A",$E3="Away",$E3="away"),-Inputs!$F$6,0))+Inputs!$F$7*(INDEX(GameInputs!$H:$H,$A3+1)-INDEX(GameInputs!$G:$G,$A3+1))+INDEX(GameInputs!$J:$J,$A3+1),"")</f>
        <v>106.27794830491662</v>
      </c>
      <c r="AE3">
        <f>IF(ISNUMBER(AB3),Inputs!$F$8+Inputs!$F$9*ABS(INDEX(GameInputs!$G:$G,$A3+1)-INDEX(GameInputs!$H:$H,$A3+1)),"")</f>
        <v>11.003160468395492</v>
      </c>
      <c r="AF3">
        <f>IF(ISNUMBER(AB3),Inputs!$F$10+Inputs!$F$11*ABS(AB3-Inputs!$F$5),"")</f>
        <v>14.645736026002005</v>
      </c>
    </row>
    <row r="4" spans="1:32" x14ac:dyDescent="0.2">
      <c r="A4" s="21">
        <v>3</v>
      </c>
      <c r="B4" s="21" t="str">
        <f>INDEX(GameInputs!$A:$A,$A4+1)</f>
        <v>2026-03-15</v>
      </c>
      <c r="C4" s="21" t="str">
        <f>INDEX(GameInputs!$C:$C,$A4+1)</f>
        <v>Arkansas</v>
      </c>
      <c r="D4" s="21" t="str">
        <f>INDEX(GameInputs!$B:$B,$A4+1)</f>
        <v>Vanderbilt</v>
      </c>
      <c r="E4" s="21" t="str">
        <f>INDEX(GameInputs!$D:$D,$A4+1)</f>
        <v>H</v>
      </c>
      <c r="F4" s="27">
        <f>INDEX(GameInputs!$E:$E,$A4+1)</f>
        <v>0.5</v>
      </c>
      <c r="G4" s="27">
        <f t="shared" si="0"/>
        <v>2.1190240325756391</v>
      </c>
      <c r="H4" s="27">
        <f t="shared" si="1"/>
        <v>2.6190240325756391</v>
      </c>
      <c r="I4" s="27">
        <f>INDEX(GameInputs!$F:$F,$A4+1)</f>
        <v>167.5</v>
      </c>
      <c r="J4" s="27">
        <f t="shared" si="2"/>
        <v>160.68555231819681</v>
      </c>
      <c r="K4" s="27">
        <f t="shared" si="3"/>
        <v>-6.8144476818031876</v>
      </c>
      <c r="L4" s="29">
        <f t="shared" si="4"/>
        <v>0.57637897346940004</v>
      </c>
      <c r="M4" s="29">
        <f t="shared" si="5"/>
        <v>0.59409555448241425</v>
      </c>
      <c r="N4" s="29">
        <f t="shared" si="6"/>
        <v>0.32614224333124198</v>
      </c>
      <c r="O4" s="27">
        <f t="shared" si="7"/>
        <v>1.7349696051205623</v>
      </c>
      <c r="P4" s="28">
        <f t="shared" si="8"/>
        <v>-136.06004833845651</v>
      </c>
      <c r="Q4" s="27">
        <f t="shared" si="9"/>
        <v>1.6832309086561275</v>
      </c>
      <c r="R4" s="28">
        <f t="shared" si="10"/>
        <v>-146.36340179148769</v>
      </c>
      <c r="S4" s="27">
        <f t="shared" si="11"/>
        <v>3.0661468130773954</v>
      </c>
      <c r="T4" s="28">
        <f t="shared" si="12"/>
        <v>206.61468130773954</v>
      </c>
      <c r="U4" s="29">
        <f t="shared" si="13"/>
        <v>1</v>
      </c>
      <c r="V4">
        <f>IFERROR(INDEX(BlendedRatings!$E:$E,MATCH($D4,BlendedRatings!$A:$A,0)),"")</f>
        <v>125.63500000000001</v>
      </c>
      <c r="W4">
        <f>IFERROR(INDEX(BlendedRatings!$F:$F,MATCH($D4,BlendedRatings!$A:$A,0)),"")</f>
        <v>99.177099999999996</v>
      </c>
      <c r="X4">
        <f>IFERROR(INDEX(BlendedRatings!$G:$G,MATCH($D4,BlendedRatings!$A:$A,0)),"")</f>
        <v>69.460800000000006</v>
      </c>
      <c r="Y4">
        <f>IFERROR(INDEX(BlendedRatings!$E:$E,MATCH($C4,BlendedRatings!$A:$A,0)),"")</f>
        <v>127.95699999999999</v>
      </c>
      <c r="Z4">
        <f>IFERROR(INDEX(BlendedRatings!$F:$F,MATCH($C4,BlendedRatings!$A:$A,0)),"")</f>
        <v>102.09</v>
      </c>
      <c r="AA4">
        <f>IFERROR(INDEX(BlendedRatings!$G:$G,MATCH($C4,BlendedRatings!$A:$A,0)),"")</f>
        <v>71.138000000000005</v>
      </c>
      <c r="AB4">
        <f>IF(AND(ISNUMBER(X4),ISNUMBER(AA4),X4&gt;0,AA4&gt;0,ISNUMBER(Inputs!$F$5)),0.85*(2/(1/X4+1/AA4))+0.15*Inputs!$F$5+INDEX(GameInputs!$K:$K,$A4+1)+INDEX(GameInputs!$L:$L,$A4+1),"")</f>
        <v>69.849376672274687</v>
      </c>
      <c r="AC4">
        <f>IF(AND(ISNUMBER(V4),ISNUMBER(Z4),ISNUMBER(Inputs!$F$3),ISNUMBER(Inputs!$F$4)),Inputs!$F$3+0.55*(V4-Inputs!$F$3)+0.45*(Z4-Inputs!$F$4)+IF(OR($E4="H",$E4="Home",$E4="home"),Inputs!$F$6,IF(OR($E4="A",$E4="Away",$E4="away"),-Inputs!$F$6,0))+Inputs!$F$7*(INDEX(GameInputs!$G:$G,$A4+1)-INDEX(GameInputs!$H:$H,$A4+1))+INDEX(GameInputs!$I:$I,$A4+1),"")</f>
        <v>116.53974889041099</v>
      </c>
      <c r="AD4">
        <f>IF(AND(ISNUMBER(Y4),ISNUMBER(W4),ISNUMBER(Inputs!$F$3),ISNUMBER(Inputs!$F$4)),Inputs!$F$3+0.55*(Y4-Inputs!$F$3)+0.45*(W4-Inputs!$F$4)-IF(OR($E4="H",$E4="Home",$E4="home"),Inputs!$F$6,IF(OR($E4="A",$E4="Away",$E4="away"),-Inputs!$F$6,0))+Inputs!$F$7*(INDEX(GameInputs!$H:$H,$A4+1)-INDEX(GameInputs!$G:$G,$A4+1))+INDEX(GameInputs!$J:$J,$A4+1),"")</f>
        <v>113.50604389041098</v>
      </c>
      <c r="AE4">
        <f>IF(ISNUMBER(AB4),Inputs!$F$8+Inputs!$F$9*ABS(INDEX(GameInputs!$G:$G,$A4+1)-INDEX(GameInputs!$H:$H,$A4+1)),"")</f>
        <v>11</v>
      </c>
      <c r="AF4">
        <f>IF(ISNUMBER(AB4),Inputs!$F$10+Inputs!$F$11*ABS(AB4-Inputs!$F$5),"")</f>
        <v>15.123361222863181</v>
      </c>
    </row>
    <row r="5" spans="1:32" x14ac:dyDescent="0.2">
      <c r="A5" s="21">
        <v>4</v>
      </c>
      <c r="B5" s="21" t="str">
        <f>INDEX(GameInputs!$A:$A,$A5+1)</f>
        <v>2026-03-15</v>
      </c>
      <c r="C5" s="21" t="str">
        <f>INDEX(GameInputs!$C:$C,$A5+1)</f>
        <v>South Florida</v>
      </c>
      <c r="D5" s="21" t="str">
        <f>INDEX(GameInputs!$B:$B,$A5+1)</f>
        <v>Wichita St.</v>
      </c>
      <c r="E5" s="21" t="str">
        <f>INDEX(GameInputs!$D:$D,$A5+1)</f>
        <v>H</v>
      </c>
      <c r="F5" s="27">
        <f>INDEX(GameInputs!$E:$E,$A5+1)</f>
        <v>6</v>
      </c>
      <c r="G5" s="27">
        <f t="shared" si="0"/>
        <v>-8.0655131325782115E-2</v>
      </c>
      <c r="H5" s="27">
        <f t="shared" si="1"/>
        <v>5.9193448686742176</v>
      </c>
      <c r="I5" s="27">
        <f>INDEX(GameInputs!$F:$F,$A5+1)</f>
        <v>150.5</v>
      </c>
      <c r="J5" s="27">
        <f t="shared" si="2"/>
        <v>150.73030455088511</v>
      </c>
      <c r="K5" s="27">
        <f t="shared" si="3"/>
        <v>0.23030455088510848</v>
      </c>
      <c r="L5" s="29">
        <f t="shared" si="4"/>
        <v>0.49707486784517829</v>
      </c>
      <c r="M5" s="29">
        <f t="shared" si="5"/>
        <v>0.70475367750724494</v>
      </c>
      <c r="N5" s="29">
        <f t="shared" si="6"/>
        <v>0.50620171058664432</v>
      </c>
      <c r="O5" s="27">
        <f t="shared" si="7"/>
        <v>2.0117693826183656</v>
      </c>
      <c r="P5" s="28">
        <f t="shared" si="8"/>
        <v>101.17693826183657</v>
      </c>
      <c r="Q5" s="27">
        <f t="shared" si="9"/>
        <v>1.4189354832983045</v>
      </c>
      <c r="R5" s="28">
        <f t="shared" si="10"/>
        <v>-238.70023902652963</v>
      </c>
      <c r="S5" s="27">
        <f t="shared" si="11"/>
        <v>1.9754970777184571</v>
      </c>
      <c r="T5" s="28">
        <f t="shared" si="12"/>
        <v>-102.51183963962779</v>
      </c>
      <c r="U5" s="29">
        <f t="shared" si="13"/>
        <v>1</v>
      </c>
      <c r="V5">
        <f>IFERROR(INDEX(BlendedRatings!$E:$E,MATCH($D5,BlendedRatings!$A:$A,0)),"")</f>
        <v>113.09099999999999</v>
      </c>
      <c r="W5">
        <f>IFERROR(INDEX(BlendedRatings!$F:$F,MATCH($D5,BlendedRatings!$A:$A,0)),"")</f>
        <v>103.749</v>
      </c>
      <c r="X5">
        <f>IFERROR(INDEX(BlendedRatings!$G:$G,MATCH($D5,BlendedRatings!$A:$A,0)),"")</f>
        <v>66.304199999999994</v>
      </c>
      <c r="Y5">
        <f>IFERROR(INDEX(BlendedRatings!$E:$E,MATCH($C5,BlendedRatings!$A:$A,0)),"")</f>
        <v>117.658</v>
      </c>
      <c r="Z5">
        <f>IFERROR(INDEX(BlendedRatings!$F:$F,MATCH($C5,BlendedRatings!$A:$A,0)),"")</f>
        <v>102.40300000000001</v>
      </c>
      <c r="AA5">
        <f>IFERROR(INDEX(BlendedRatings!$G:$G,MATCH($C5,BlendedRatings!$A:$A,0)),"")</f>
        <v>71.567499999999995</v>
      </c>
      <c r="AB5">
        <f>IF(AND(ISNUMBER(X5),ISNUMBER(AA5),X5&gt;0,AA5&gt;0,ISNUMBER(Inputs!$F$5)),0.85*(2/(1/X5+1/AA5))+0.15*Inputs!$F$5+INDEX(GameInputs!$K:$K,$A5+1)+INDEX(GameInputs!$L:$L,$A5+1),"")</f>
        <v>68.613467737801827</v>
      </c>
      <c r="AC5">
        <f>IF(AND(ISNUMBER(V5),ISNUMBER(Z5),ISNUMBER(Inputs!$F$3),ISNUMBER(Inputs!$F$4)),Inputs!$F$3+0.55*(V5-Inputs!$F$3)+0.45*(Z5-Inputs!$F$4)+IF(OR($E5="H",$E5="Home",$E5="home"),Inputs!$F$6,IF(OR($E5="A",$E5="Away",$E5="away"),-Inputs!$F$6,0))+Inputs!$F$7*(INDEX(GameInputs!$G:$G,$A5+1)-INDEX(GameInputs!$H:$H,$A5+1))+INDEX(GameInputs!$I:$I,$A5+1),"")</f>
        <v>109.78139889041098</v>
      </c>
      <c r="AD5">
        <f>IF(AND(ISNUMBER(Y5),ISNUMBER(W5),ISNUMBER(Inputs!$F$3),ISNUMBER(Inputs!$F$4)),Inputs!$F$3+0.55*(Y5-Inputs!$F$3)+0.45*(W5-Inputs!$F$4)-IF(OR($E5="H",$E5="Home",$E5="home"),Inputs!$F$6,IF(OR($E5="A",$E5="Away",$E5="away"),-Inputs!$F$6,0))+Inputs!$F$7*(INDEX(GameInputs!$H:$H,$A5+1)-INDEX(GameInputs!$G:$G,$A5+1))+INDEX(GameInputs!$J:$J,$A5+1),"")</f>
        <v>109.89894889041098</v>
      </c>
      <c r="AE5">
        <f>IF(ISNUMBER(AB5),Inputs!$F$8+Inputs!$F$9*ABS(INDEX(GameInputs!$G:$G,$A5+1)-INDEX(GameInputs!$H:$H,$A5+1)),"")</f>
        <v>11</v>
      </c>
      <c r="AF5">
        <f>IF(ISNUMBER(AB5),Inputs!$F$10+Inputs!$F$11*ABS(AB5-Inputs!$F$5),"")</f>
        <v>14.814383989244966</v>
      </c>
    </row>
    <row r="6" spans="1:32" x14ac:dyDescent="0.2">
      <c r="A6" s="21">
        <v>5</v>
      </c>
      <c r="B6" s="21">
        <f>INDEX(GameInputs!$A:$A,$A6+1)</f>
        <v>0</v>
      </c>
      <c r="C6" s="21">
        <f>INDEX(GameInputs!$C:$C,$A6+1)</f>
        <v>0</v>
      </c>
      <c r="D6" s="21">
        <f>INDEX(GameInputs!$B:$B,$A6+1)</f>
        <v>0</v>
      </c>
      <c r="E6" s="21">
        <f>INDEX(GameInputs!$D:$D,$A6+1)</f>
        <v>0</v>
      </c>
      <c r="F6" s="27">
        <f>INDEX(GameInputs!$E:$E,$A6+1)</f>
        <v>0</v>
      </c>
      <c r="G6" s="27" t="str">
        <f t="shared" si="0"/>
        <v/>
      </c>
      <c r="H6" s="27" t="str">
        <f t="shared" si="1"/>
        <v/>
      </c>
      <c r="I6" s="27">
        <f>INDEX(GameInputs!$F:$F,$A6+1)</f>
        <v>0</v>
      </c>
      <c r="J6" s="27" t="str">
        <f t="shared" si="2"/>
        <v/>
      </c>
      <c r="K6" s="27" t="str">
        <f t="shared" si="3"/>
        <v/>
      </c>
      <c r="L6" s="29" t="str">
        <f t="shared" si="4"/>
        <v/>
      </c>
      <c r="M6" s="29" t="str">
        <f t="shared" si="5"/>
        <v/>
      </c>
      <c r="N6" s="29" t="str">
        <f t="shared" si="6"/>
        <v/>
      </c>
      <c r="O6" s="27" t="str">
        <f t="shared" si="7"/>
        <v/>
      </c>
      <c r="P6" s="28" t="str">
        <f t="shared" si="8"/>
        <v/>
      </c>
      <c r="Q6" s="27" t="str">
        <f t="shared" si="9"/>
        <v/>
      </c>
      <c r="R6" s="28" t="str">
        <f t="shared" si="10"/>
        <v/>
      </c>
      <c r="S6" s="27" t="str">
        <f t="shared" si="11"/>
        <v/>
      </c>
      <c r="T6" s="28" t="str">
        <f t="shared" si="12"/>
        <v/>
      </c>
      <c r="U6" s="29" t="str">
        <f t="shared" si="13"/>
        <v/>
      </c>
      <c r="V6" t="str">
        <f>IFERROR(INDEX(BlendedRatings!$E:$E,MATCH($D6,BlendedRatings!$A:$A,0)),"")</f>
        <v/>
      </c>
      <c r="W6" t="str">
        <f>IFERROR(INDEX(BlendedRatings!$F:$F,MATCH($D6,BlendedRatings!$A:$A,0)),"")</f>
        <v/>
      </c>
      <c r="X6" t="str">
        <f>IFERROR(INDEX(BlendedRatings!$G:$G,MATCH($D6,BlendedRatings!$A:$A,0)),"")</f>
        <v/>
      </c>
      <c r="Y6" t="str">
        <f>IFERROR(INDEX(BlendedRatings!$E:$E,MATCH($C6,BlendedRatings!$A:$A,0)),"")</f>
        <v/>
      </c>
      <c r="Z6" t="str">
        <f>IFERROR(INDEX(BlendedRatings!$F:$F,MATCH($C6,BlendedRatings!$A:$A,0)),"")</f>
        <v/>
      </c>
      <c r="AA6" t="str">
        <f>IFERROR(INDEX(BlendedRatings!$G:$G,MATCH($C6,BlendedRatings!$A:$A,0)),"")</f>
        <v/>
      </c>
      <c r="AB6" t="str">
        <f>IF(AND(ISNUMBER(X6),ISNUMBER(AA6),X6&gt;0,AA6&gt;0,ISNUMBER(Inputs!$F$5)),0.85*(2/(1/X6+1/AA6))+0.15*Inputs!$F$5+INDEX(GameInputs!$K:$K,$A6+1)+INDEX(GameInputs!$L:$L,$A6+1),"")</f>
        <v/>
      </c>
      <c r="AC6" t="str">
        <f>IF(AND(ISNUMBER(V6),ISNUMBER(Z6),ISNUMBER(Inputs!$F$3),ISNUMBER(Inputs!$F$4)),Inputs!$F$3+0.55*(V6-Inputs!$F$3)+0.45*(Z6-Inputs!$F$4)+IF(OR($E6="H",$E6="Home",$E6="home"),Inputs!$F$6,IF(OR($E6="A",$E6="Away",$E6="away"),-Inputs!$F$6,0))+Inputs!$F$7*(INDEX(GameInputs!$G:$G,$A6+1)-INDEX(GameInputs!$H:$H,$A6+1))+INDEX(GameInputs!$I:$I,$A6+1),"")</f>
        <v/>
      </c>
      <c r="AD6" t="str">
        <f>IF(AND(ISNUMBER(Y6),ISNUMBER(W6),ISNUMBER(Inputs!$F$3),ISNUMBER(Inputs!$F$4)),Inputs!$F$3+0.55*(Y6-Inputs!$F$3)+0.45*(W6-Inputs!$F$4)-IF(OR($E6="H",$E6="Home",$E6="home"),Inputs!$F$6,IF(OR($E6="A",$E6="Away",$E6="away"),-Inputs!$F$6,0))+Inputs!$F$7*(INDEX(GameInputs!$H:$H,$A6+1)-INDEX(GameInputs!$G:$G,$A6+1))+INDEX(GameInputs!$J:$J,$A6+1),"")</f>
        <v/>
      </c>
      <c r="AE6" t="str">
        <f>IF(ISNUMBER(AB6),Inputs!$F$8+Inputs!$F$9*ABS(INDEX(GameInputs!$G:$G,$A6+1)-INDEX(GameInputs!$H:$H,$A6+1)),"")</f>
        <v/>
      </c>
      <c r="AF6" t="str">
        <f>IF(ISNUMBER(AB6),Inputs!$F$10+Inputs!$F$11*ABS(AB6-Inputs!$F$5),"")</f>
        <v/>
      </c>
    </row>
    <row r="7" spans="1:32" x14ac:dyDescent="0.2">
      <c r="A7" s="21">
        <v>6</v>
      </c>
      <c r="B7" s="21">
        <f>INDEX(GameInputs!$A:$A,$A7+1)</f>
        <v>0</v>
      </c>
      <c r="C7" s="21">
        <f>INDEX(GameInputs!$C:$C,$A7+1)</f>
        <v>0</v>
      </c>
      <c r="D7" s="21">
        <f>INDEX(GameInputs!$B:$B,$A7+1)</f>
        <v>0</v>
      </c>
      <c r="E7" s="21">
        <f>INDEX(GameInputs!$D:$D,$A7+1)</f>
        <v>0</v>
      </c>
      <c r="F7" s="27">
        <f>INDEX(GameInputs!$E:$E,$A7+1)</f>
        <v>0</v>
      </c>
      <c r="G7" s="27" t="str">
        <f t="shared" si="0"/>
        <v/>
      </c>
      <c r="H7" s="27" t="str">
        <f t="shared" si="1"/>
        <v/>
      </c>
      <c r="I7" s="27">
        <f>INDEX(GameInputs!$F:$F,$A7+1)</f>
        <v>0</v>
      </c>
      <c r="J7" s="27" t="str">
        <f t="shared" si="2"/>
        <v/>
      </c>
      <c r="K7" s="27" t="str">
        <f t="shared" si="3"/>
        <v/>
      </c>
      <c r="L7" s="29" t="str">
        <f t="shared" si="4"/>
        <v/>
      </c>
      <c r="M7" s="29" t="str">
        <f t="shared" si="5"/>
        <v/>
      </c>
      <c r="N7" s="29" t="str">
        <f t="shared" si="6"/>
        <v/>
      </c>
      <c r="O7" s="27" t="str">
        <f t="shared" si="7"/>
        <v/>
      </c>
      <c r="P7" s="28" t="str">
        <f t="shared" si="8"/>
        <v/>
      </c>
      <c r="Q7" s="27" t="str">
        <f t="shared" si="9"/>
        <v/>
      </c>
      <c r="R7" s="28" t="str">
        <f t="shared" si="10"/>
        <v/>
      </c>
      <c r="S7" s="27" t="str">
        <f t="shared" si="11"/>
        <v/>
      </c>
      <c r="T7" s="28" t="str">
        <f t="shared" si="12"/>
        <v/>
      </c>
      <c r="U7" s="29" t="str">
        <f t="shared" si="13"/>
        <v/>
      </c>
      <c r="V7" t="str">
        <f>IFERROR(INDEX(BlendedRatings!$E:$E,MATCH($D7,BlendedRatings!$A:$A,0)),"")</f>
        <v/>
      </c>
      <c r="W7" t="str">
        <f>IFERROR(INDEX(BlendedRatings!$F:$F,MATCH($D7,BlendedRatings!$A:$A,0)),"")</f>
        <v/>
      </c>
      <c r="X7" t="str">
        <f>IFERROR(INDEX(BlendedRatings!$G:$G,MATCH($D7,BlendedRatings!$A:$A,0)),"")</f>
        <v/>
      </c>
      <c r="Y7" t="str">
        <f>IFERROR(INDEX(BlendedRatings!$E:$E,MATCH($C7,BlendedRatings!$A:$A,0)),"")</f>
        <v/>
      </c>
      <c r="Z7" t="str">
        <f>IFERROR(INDEX(BlendedRatings!$F:$F,MATCH($C7,BlendedRatings!$A:$A,0)),"")</f>
        <v/>
      </c>
      <c r="AA7" t="str">
        <f>IFERROR(INDEX(BlendedRatings!$G:$G,MATCH($C7,BlendedRatings!$A:$A,0)),"")</f>
        <v/>
      </c>
      <c r="AB7" t="str">
        <f>IF(AND(ISNUMBER(X7),ISNUMBER(AA7),X7&gt;0,AA7&gt;0,ISNUMBER(Inputs!$F$5)),0.85*(2/(1/X7+1/AA7))+0.15*Inputs!$F$5+INDEX(GameInputs!$K:$K,$A7+1)+INDEX(GameInputs!$L:$L,$A7+1),"")</f>
        <v/>
      </c>
      <c r="AC7" t="str">
        <f>IF(AND(ISNUMBER(V7),ISNUMBER(Z7),ISNUMBER(Inputs!$F$3),ISNUMBER(Inputs!$F$4)),Inputs!$F$3+0.55*(V7-Inputs!$F$3)+0.45*(Z7-Inputs!$F$4)+IF(OR($E7="H",$E7="Home",$E7="home"),Inputs!$F$6,IF(OR($E7="A",$E7="Away",$E7="away"),-Inputs!$F$6,0))+Inputs!$F$7*(INDEX(GameInputs!$G:$G,$A7+1)-INDEX(GameInputs!$H:$H,$A7+1))+INDEX(GameInputs!$I:$I,$A7+1),"")</f>
        <v/>
      </c>
      <c r="AD7" t="str">
        <f>IF(AND(ISNUMBER(Y7),ISNUMBER(W7),ISNUMBER(Inputs!$F$3),ISNUMBER(Inputs!$F$4)),Inputs!$F$3+0.55*(Y7-Inputs!$F$3)+0.45*(W7-Inputs!$F$4)-IF(OR($E7="H",$E7="Home",$E7="home"),Inputs!$F$6,IF(OR($E7="A",$E7="Away",$E7="away"),-Inputs!$F$6,0))+Inputs!$F$7*(INDEX(GameInputs!$H:$H,$A7+1)-INDEX(GameInputs!$G:$G,$A7+1))+INDEX(GameInputs!$J:$J,$A7+1),"")</f>
        <v/>
      </c>
      <c r="AE7" t="str">
        <f>IF(ISNUMBER(AB7),Inputs!$F$8+Inputs!$F$9*ABS(INDEX(GameInputs!$G:$G,$A7+1)-INDEX(GameInputs!$H:$H,$A7+1)),"")</f>
        <v/>
      </c>
      <c r="AF7" t="str">
        <f>IF(ISNUMBER(AB7),Inputs!$F$10+Inputs!$F$11*ABS(AB7-Inputs!$F$5),"")</f>
        <v/>
      </c>
    </row>
    <row r="8" spans="1:32" x14ac:dyDescent="0.2">
      <c r="A8" s="21">
        <v>7</v>
      </c>
      <c r="B8" s="21">
        <f>INDEX(GameInputs!$A:$A,$A8+1)</f>
        <v>0</v>
      </c>
      <c r="C8" s="21">
        <f>INDEX(GameInputs!$C:$C,$A8+1)</f>
        <v>0</v>
      </c>
      <c r="D8" s="21">
        <f>INDEX(GameInputs!$B:$B,$A8+1)</f>
        <v>0</v>
      </c>
      <c r="E8" s="21">
        <f>INDEX(GameInputs!$D:$D,$A8+1)</f>
        <v>0</v>
      </c>
      <c r="F8" s="27">
        <f>INDEX(GameInputs!$E:$E,$A8+1)</f>
        <v>0</v>
      </c>
      <c r="G8" s="27" t="str">
        <f t="shared" si="0"/>
        <v/>
      </c>
      <c r="H8" s="27" t="str">
        <f t="shared" si="1"/>
        <v/>
      </c>
      <c r="I8" s="27">
        <f>INDEX(GameInputs!$F:$F,$A8+1)</f>
        <v>0</v>
      </c>
      <c r="J8" s="27" t="str">
        <f t="shared" si="2"/>
        <v/>
      </c>
      <c r="K8" s="27" t="str">
        <f t="shared" si="3"/>
        <v/>
      </c>
      <c r="L8" s="29" t="str">
        <f t="shared" si="4"/>
        <v/>
      </c>
      <c r="M8" s="29" t="str">
        <f t="shared" si="5"/>
        <v/>
      </c>
      <c r="N8" s="29" t="str">
        <f t="shared" si="6"/>
        <v/>
      </c>
      <c r="O8" s="27" t="str">
        <f t="shared" si="7"/>
        <v/>
      </c>
      <c r="P8" s="28" t="str">
        <f t="shared" si="8"/>
        <v/>
      </c>
      <c r="Q8" s="27" t="str">
        <f t="shared" si="9"/>
        <v/>
      </c>
      <c r="R8" s="28" t="str">
        <f t="shared" si="10"/>
        <v/>
      </c>
      <c r="S8" s="27" t="str">
        <f t="shared" si="11"/>
        <v/>
      </c>
      <c r="T8" s="28" t="str">
        <f t="shared" si="12"/>
        <v/>
      </c>
      <c r="U8" s="29" t="str">
        <f t="shared" si="13"/>
        <v/>
      </c>
      <c r="V8" t="str">
        <f>IFERROR(INDEX(BlendedRatings!$E:$E,MATCH($D8,BlendedRatings!$A:$A,0)),"")</f>
        <v/>
      </c>
      <c r="W8" t="str">
        <f>IFERROR(INDEX(BlendedRatings!$F:$F,MATCH($D8,BlendedRatings!$A:$A,0)),"")</f>
        <v/>
      </c>
      <c r="X8" t="str">
        <f>IFERROR(INDEX(BlendedRatings!$G:$G,MATCH($D8,BlendedRatings!$A:$A,0)),"")</f>
        <v/>
      </c>
      <c r="Y8" t="str">
        <f>IFERROR(INDEX(BlendedRatings!$E:$E,MATCH($C8,BlendedRatings!$A:$A,0)),"")</f>
        <v/>
      </c>
      <c r="Z8" t="str">
        <f>IFERROR(INDEX(BlendedRatings!$F:$F,MATCH($C8,BlendedRatings!$A:$A,0)),"")</f>
        <v/>
      </c>
      <c r="AA8" t="str">
        <f>IFERROR(INDEX(BlendedRatings!$G:$G,MATCH($C8,BlendedRatings!$A:$A,0)),"")</f>
        <v/>
      </c>
      <c r="AB8" t="str">
        <f>IF(AND(ISNUMBER(X8),ISNUMBER(AA8),X8&gt;0,AA8&gt;0,ISNUMBER(Inputs!$F$5)),0.85*(2/(1/X8+1/AA8))+0.15*Inputs!$F$5+INDEX(GameInputs!$K:$K,$A8+1)+INDEX(GameInputs!$L:$L,$A8+1),"")</f>
        <v/>
      </c>
      <c r="AC8" t="str">
        <f>IF(AND(ISNUMBER(V8),ISNUMBER(Z8),ISNUMBER(Inputs!$F$3),ISNUMBER(Inputs!$F$4)),Inputs!$F$3+0.55*(V8-Inputs!$F$3)+0.45*(Z8-Inputs!$F$4)+IF(OR($E8="H",$E8="Home",$E8="home"),Inputs!$F$6,IF(OR($E8="A",$E8="Away",$E8="away"),-Inputs!$F$6,0))+Inputs!$F$7*(INDEX(GameInputs!$G:$G,$A8+1)-INDEX(GameInputs!$H:$H,$A8+1))+INDEX(GameInputs!$I:$I,$A8+1),"")</f>
        <v/>
      </c>
      <c r="AD8" t="str">
        <f>IF(AND(ISNUMBER(Y8),ISNUMBER(W8),ISNUMBER(Inputs!$F$3),ISNUMBER(Inputs!$F$4)),Inputs!$F$3+0.55*(Y8-Inputs!$F$3)+0.45*(W8-Inputs!$F$4)-IF(OR($E8="H",$E8="Home",$E8="home"),Inputs!$F$6,IF(OR($E8="A",$E8="Away",$E8="away"),-Inputs!$F$6,0))+Inputs!$F$7*(INDEX(GameInputs!$H:$H,$A8+1)-INDEX(GameInputs!$G:$G,$A8+1))+INDEX(GameInputs!$J:$J,$A8+1),"")</f>
        <v/>
      </c>
      <c r="AE8" t="str">
        <f>IF(ISNUMBER(AB8),Inputs!$F$8+Inputs!$F$9*ABS(INDEX(GameInputs!$G:$G,$A8+1)-INDEX(GameInputs!$H:$H,$A8+1)),"")</f>
        <v/>
      </c>
      <c r="AF8" t="str">
        <f>IF(ISNUMBER(AB8),Inputs!$F$10+Inputs!$F$11*ABS(AB8-Inputs!$F$5),"")</f>
        <v/>
      </c>
    </row>
    <row r="9" spans="1:32" x14ac:dyDescent="0.2">
      <c r="A9" s="21">
        <v>8</v>
      </c>
      <c r="B9" s="21">
        <f>INDEX(GameInputs!$A:$A,$A9+1)</f>
        <v>0</v>
      </c>
      <c r="C9" s="21">
        <f>INDEX(GameInputs!$C:$C,$A9+1)</f>
        <v>0</v>
      </c>
      <c r="D9" s="21">
        <f>INDEX(GameInputs!$B:$B,$A9+1)</f>
        <v>0</v>
      </c>
      <c r="E9" s="21">
        <f>INDEX(GameInputs!$D:$D,$A9+1)</f>
        <v>0</v>
      </c>
      <c r="F9" s="27">
        <f>INDEX(GameInputs!$E:$E,$A9+1)</f>
        <v>0</v>
      </c>
      <c r="G9" s="27" t="str">
        <f t="shared" si="0"/>
        <v/>
      </c>
      <c r="H9" s="27" t="str">
        <f t="shared" si="1"/>
        <v/>
      </c>
      <c r="I9" s="27">
        <f>INDEX(GameInputs!$F:$F,$A9+1)</f>
        <v>0</v>
      </c>
      <c r="J9" s="27" t="str">
        <f t="shared" si="2"/>
        <v/>
      </c>
      <c r="K9" s="27" t="str">
        <f t="shared" si="3"/>
        <v/>
      </c>
      <c r="L9" s="29" t="str">
        <f t="shared" si="4"/>
        <v/>
      </c>
      <c r="M9" s="29" t="str">
        <f t="shared" si="5"/>
        <v/>
      </c>
      <c r="N9" s="29" t="str">
        <f t="shared" si="6"/>
        <v/>
      </c>
      <c r="O9" s="27" t="str">
        <f t="shared" si="7"/>
        <v/>
      </c>
      <c r="P9" s="28" t="str">
        <f t="shared" si="8"/>
        <v/>
      </c>
      <c r="Q9" s="27" t="str">
        <f t="shared" si="9"/>
        <v/>
      </c>
      <c r="R9" s="28" t="str">
        <f t="shared" si="10"/>
        <v/>
      </c>
      <c r="S9" s="27" t="str">
        <f t="shared" si="11"/>
        <v/>
      </c>
      <c r="T9" s="28" t="str">
        <f t="shared" si="12"/>
        <v/>
      </c>
      <c r="U9" s="29" t="str">
        <f t="shared" si="13"/>
        <v/>
      </c>
      <c r="V9" t="str">
        <f>IFERROR(INDEX(BlendedRatings!$E:$E,MATCH($D9,BlendedRatings!$A:$A,0)),"")</f>
        <v/>
      </c>
      <c r="W9" t="str">
        <f>IFERROR(INDEX(BlendedRatings!$F:$F,MATCH($D9,BlendedRatings!$A:$A,0)),"")</f>
        <v/>
      </c>
      <c r="X9" t="str">
        <f>IFERROR(INDEX(BlendedRatings!$G:$G,MATCH($D9,BlendedRatings!$A:$A,0)),"")</f>
        <v/>
      </c>
      <c r="Y9" t="str">
        <f>IFERROR(INDEX(BlendedRatings!$E:$E,MATCH($C9,BlendedRatings!$A:$A,0)),"")</f>
        <v/>
      </c>
      <c r="Z9" t="str">
        <f>IFERROR(INDEX(BlendedRatings!$F:$F,MATCH($C9,BlendedRatings!$A:$A,0)),"")</f>
        <v/>
      </c>
      <c r="AA9" t="str">
        <f>IFERROR(INDEX(BlendedRatings!$G:$G,MATCH($C9,BlendedRatings!$A:$A,0)),"")</f>
        <v/>
      </c>
      <c r="AB9" t="str">
        <f>IF(AND(ISNUMBER(X9),ISNUMBER(AA9),X9&gt;0,AA9&gt;0,ISNUMBER(Inputs!$F$5)),0.85*(2/(1/X9+1/AA9))+0.15*Inputs!$F$5+INDEX(GameInputs!$K:$K,$A9+1)+INDEX(GameInputs!$L:$L,$A9+1),"")</f>
        <v/>
      </c>
      <c r="AC9" t="str">
        <f>IF(AND(ISNUMBER(V9),ISNUMBER(Z9),ISNUMBER(Inputs!$F$3),ISNUMBER(Inputs!$F$4)),Inputs!$F$3+0.55*(V9-Inputs!$F$3)+0.45*(Z9-Inputs!$F$4)+IF(OR($E9="H",$E9="Home",$E9="home"),Inputs!$F$6,IF(OR($E9="A",$E9="Away",$E9="away"),-Inputs!$F$6,0))+Inputs!$F$7*(INDEX(GameInputs!$G:$G,$A9+1)-INDEX(GameInputs!$H:$H,$A9+1))+INDEX(GameInputs!$I:$I,$A9+1),"")</f>
        <v/>
      </c>
      <c r="AD9" t="str">
        <f>IF(AND(ISNUMBER(Y9),ISNUMBER(W9),ISNUMBER(Inputs!$F$3),ISNUMBER(Inputs!$F$4)),Inputs!$F$3+0.55*(Y9-Inputs!$F$3)+0.45*(W9-Inputs!$F$4)-IF(OR($E9="H",$E9="Home",$E9="home"),Inputs!$F$6,IF(OR($E9="A",$E9="Away",$E9="away"),-Inputs!$F$6,0))+Inputs!$F$7*(INDEX(GameInputs!$H:$H,$A9+1)-INDEX(GameInputs!$G:$G,$A9+1))+INDEX(GameInputs!$J:$J,$A9+1),"")</f>
        <v/>
      </c>
      <c r="AE9" t="str">
        <f>IF(ISNUMBER(AB9),Inputs!$F$8+Inputs!$F$9*ABS(INDEX(GameInputs!$G:$G,$A9+1)-INDEX(GameInputs!$H:$H,$A9+1)),"")</f>
        <v/>
      </c>
      <c r="AF9" t="str">
        <f>IF(ISNUMBER(AB9),Inputs!$F$10+Inputs!$F$11*ABS(AB9-Inputs!$F$5),"")</f>
        <v/>
      </c>
    </row>
    <row r="10" spans="1:32" x14ac:dyDescent="0.2">
      <c r="A10" s="21">
        <v>9</v>
      </c>
      <c r="B10" s="21">
        <f>INDEX(GameInputs!$A:$A,$A10+1)</f>
        <v>0</v>
      </c>
      <c r="C10" s="21">
        <f>INDEX(GameInputs!$C:$C,$A10+1)</f>
        <v>0</v>
      </c>
      <c r="D10" s="21">
        <f>INDEX(GameInputs!$B:$B,$A10+1)</f>
        <v>0</v>
      </c>
      <c r="E10" s="21">
        <f>INDEX(GameInputs!$D:$D,$A10+1)</f>
        <v>0</v>
      </c>
      <c r="F10" s="27">
        <f>INDEX(GameInputs!$E:$E,$A10+1)</f>
        <v>0</v>
      </c>
      <c r="G10" s="27" t="str">
        <f t="shared" si="0"/>
        <v/>
      </c>
      <c r="H10" s="27" t="str">
        <f t="shared" si="1"/>
        <v/>
      </c>
      <c r="I10" s="27">
        <f>INDEX(GameInputs!$F:$F,$A10+1)</f>
        <v>0</v>
      </c>
      <c r="J10" s="27" t="str">
        <f t="shared" si="2"/>
        <v/>
      </c>
      <c r="K10" s="27" t="str">
        <f t="shared" si="3"/>
        <v/>
      </c>
      <c r="L10" s="29" t="str">
        <f t="shared" si="4"/>
        <v/>
      </c>
      <c r="M10" s="29" t="str">
        <f t="shared" si="5"/>
        <v/>
      </c>
      <c r="N10" s="29" t="str">
        <f t="shared" si="6"/>
        <v/>
      </c>
      <c r="O10" s="27" t="str">
        <f t="shared" si="7"/>
        <v/>
      </c>
      <c r="P10" s="28" t="str">
        <f t="shared" si="8"/>
        <v/>
      </c>
      <c r="Q10" s="27" t="str">
        <f t="shared" si="9"/>
        <v/>
      </c>
      <c r="R10" s="28" t="str">
        <f t="shared" si="10"/>
        <v/>
      </c>
      <c r="S10" s="27" t="str">
        <f t="shared" si="11"/>
        <v/>
      </c>
      <c r="T10" s="28" t="str">
        <f t="shared" si="12"/>
        <v/>
      </c>
      <c r="U10" s="29" t="str">
        <f t="shared" si="13"/>
        <v/>
      </c>
      <c r="V10" t="str">
        <f>IFERROR(INDEX(BlendedRatings!$E:$E,MATCH($D10,BlendedRatings!$A:$A,0)),"")</f>
        <v/>
      </c>
      <c r="W10" t="str">
        <f>IFERROR(INDEX(BlendedRatings!$F:$F,MATCH($D10,BlendedRatings!$A:$A,0)),"")</f>
        <v/>
      </c>
      <c r="X10" t="str">
        <f>IFERROR(INDEX(BlendedRatings!$G:$G,MATCH($D10,BlendedRatings!$A:$A,0)),"")</f>
        <v/>
      </c>
      <c r="Y10" t="str">
        <f>IFERROR(INDEX(BlendedRatings!$E:$E,MATCH($C10,BlendedRatings!$A:$A,0)),"")</f>
        <v/>
      </c>
      <c r="Z10" t="str">
        <f>IFERROR(INDEX(BlendedRatings!$F:$F,MATCH($C10,BlendedRatings!$A:$A,0)),"")</f>
        <v/>
      </c>
      <c r="AA10" t="str">
        <f>IFERROR(INDEX(BlendedRatings!$G:$G,MATCH($C10,BlendedRatings!$A:$A,0)),"")</f>
        <v/>
      </c>
      <c r="AB10" t="str">
        <f>IF(AND(ISNUMBER(X10),ISNUMBER(AA10),X10&gt;0,AA10&gt;0,ISNUMBER(Inputs!$F$5)),0.85*(2/(1/X10+1/AA10))+0.15*Inputs!$F$5+INDEX(GameInputs!$K:$K,$A10+1)+INDEX(GameInputs!$L:$L,$A10+1),"")</f>
        <v/>
      </c>
      <c r="AC10" t="str">
        <f>IF(AND(ISNUMBER(V10),ISNUMBER(Z10),ISNUMBER(Inputs!$F$3),ISNUMBER(Inputs!$F$4)),Inputs!$F$3+0.55*(V10-Inputs!$F$3)+0.45*(Z10-Inputs!$F$4)+IF(OR($E10="H",$E10="Home",$E10="home"),Inputs!$F$6,IF(OR($E10="A",$E10="Away",$E10="away"),-Inputs!$F$6,0))+Inputs!$F$7*(INDEX(GameInputs!$G:$G,$A10+1)-INDEX(GameInputs!$H:$H,$A10+1))+INDEX(GameInputs!$I:$I,$A10+1),"")</f>
        <v/>
      </c>
      <c r="AD10" t="str">
        <f>IF(AND(ISNUMBER(Y10),ISNUMBER(W10),ISNUMBER(Inputs!$F$3),ISNUMBER(Inputs!$F$4)),Inputs!$F$3+0.55*(Y10-Inputs!$F$3)+0.45*(W10-Inputs!$F$4)-IF(OR($E10="H",$E10="Home",$E10="home"),Inputs!$F$6,IF(OR($E10="A",$E10="Away",$E10="away"),-Inputs!$F$6,0))+Inputs!$F$7*(INDEX(GameInputs!$H:$H,$A10+1)-INDEX(GameInputs!$G:$G,$A10+1))+INDEX(GameInputs!$J:$J,$A10+1),"")</f>
        <v/>
      </c>
      <c r="AE10" t="str">
        <f>IF(ISNUMBER(AB10),Inputs!$F$8+Inputs!$F$9*ABS(INDEX(GameInputs!$G:$G,$A10+1)-INDEX(GameInputs!$H:$H,$A10+1)),"")</f>
        <v/>
      </c>
      <c r="AF10" t="str">
        <f>IF(ISNUMBER(AB10),Inputs!$F$10+Inputs!$F$11*ABS(AB10-Inputs!$F$5),"")</f>
        <v/>
      </c>
    </row>
    <row r="11" spans="1:32" x14ac:dyDescent="0.2">
      <c r="A11" s="21">
        <v>10</v>
      </c>
      <c r="B11" s="21">
        <f>INDEX(GameInputs!$A:$A,$A11+1)</f>
        <v>0</v>
      </c>
      <c r="C11" s="21">
        <f>INDEX(GameInputs!$C:$C,$A11+1)</f>
        <v>0</v>
      </c>
      <c r="D11" s="21">
        <f>INDEX(GameInputs!$B:$B,$A11+1)</f>
        <v>0</v>
      </c>
      <c r="E11" s="21">
        <f>INDEX(GameInputs!$D:$D,$A11+1)</f>
        <v>0</v>
      </c>
      <c r="F11" s="27">
        <f>INDEX(GameInputs!$E:$E,$A11+1)</f>
        <v>0</v>
      </c>
      <c r="G11" s="27" t="str">
        <f t="shared" si="0"/>
        <v/>
      </c>
      <c r="H11" s="27" t="str">
        <f t="shared" si="1"/>
        <v/>
      </c>
      <c r="I11" s="27">
        <f>INDEX(GameInputs!$F:$F,$A11+1)</f>
        <v>0</v>
      </c>
      <c r="J11" s="27" t="str">
        <f t="shared" si="2"/>
        <v/>
      </c>
      <c r="K11" s="27" t="str">
        <f t="shared" si="3"/>
        <v/>
      </c>
      <c r="L11" s="29" t="str">
        <f t="shared" si="4"/>
        <v/>
      </c>
      <c r="M11" s="29" t="str">
        <f t="shared" si="5"/>
        <v/>
      </c>
      <c r="N11" s="29" t="str">
        <f t="shared" si="6"/>
        <v/>
      </c>
      <c r="O11" s="27" t="str">
        <f t="shared" si="7"/>
        <v/>
      </c>
      <c r="P11" s="28" t="str">
        <f t="shared" si="8"/>
        <v/>
      </c>
      <c r="Q11" s="27" t="str">
        <f t="shared" si="9"/>
        <v/>
      </c>
      <c r="R11" s="28" t="str">
        <f t="shared" si="10"/>
        <v/>
      </c>
      <c r="S11" s="27" t="str">
        <f t="shared" si="11"/>
        <v/>
      </c>
      <c r="T11" s="28" t="str">
        <f t="shared" si="12"/>
        <v/>
      </c>
      <c r="U11" s="29" t="str">
        <f t="shared" si="13"/>
        <v/>
      </c>
      <c r="V11" t="str">
        <f>IFERROR(INDEX(BlendedRatings!$E:$E,MATCH($D11,BlendedRatings!$A:$A,0)),"")</f>
        <v/>
      </c>
      <c r="W11" t="str">
        <f>IFERROR(INDEX(BlendedRatings!$F:$F,MATCH($D11,BlendedRatings!$A:$A,0)),"")</f>
        <v/>
      </c>
      <c r="X11" t="str">
        <f>IFERROR(INDEX(BlendedRatings!$G:$G,MATCH($D11,BlendedRatings!$A:$A,0)),"")</f>
        <v/>
      </c>
      <c r="Y11" t="str">
        <f>IFERROR(INDEX(BlendedRatings!$E:$E,MATCH($C11,BlendedRatings!$A:$A,0)),"")</f>
        <v/>
      </c>
      <c r="Z11" t="str">
        <f>IFERROR(INDEX(BlendedRatings!$F:$F,MATCH($C11,BlendedRatings!$A:$A,0)),"")</f>
        <v/>
      </c>
      <c r="AA11" t="str">
        <f>IFERROR(INDEX(BlendedRatings!$G:$G,MATCH($C11,BlendedRatings!$A:$A,0)),"")</f>
        <v/>
      </c>
      <c r="AB11" t="str">
        <f>IF(AND(ISNUMBER(X11),ISNUMBER(AA11),X11&gt;0,AA11&gt;0,ISNUMBER(Inputs!$F$5)),0.85*(2/(1/X11+1/AA11))+0.15*Inputs!$F$5+INDEX(GameInputs!$K:$K,$A11+1)+INDEX(GameInputs!$L:$L,$A11+1),"")</f>
        <v/>
      </c>
      <c r="AC11" t="str">
        <f>IF(AND(ISNUMBER(V11),ISNUMBER(Z11),ISNUMBER(Inputs!$F$3),ISNUMBER(Inputs!$F$4)),Inputs!$F$3+0.55*(V11-Inputs!$F$3)+0.45*(Z11-Inputs!$F$4)+IF(OR($E11="H",$E11="Home",$E11="home"),Inputs!$F$6,IF(OR($E11="A",$E11="Away",$E11="away"),-Inputs!$F$6,0))+Inputs!$F$7*(INDEX(GameInputs!$G:$G,$A11+1)-INDEX(GameInputs!$H:$H,$A11+1))+INDEX(GameInputs!$I:$I,$A11+1),"")</f>
        <v/>
      </c>
      <c r="AD11" t="str">
        <f>IF(AND(ISNUMBER(Y11),ISNUMBER(W11),ISNUMBER(Inputs!$F$3),ISNUMBER(Inputs!$F$4)),Inputs!$F$3+0.55*(Y11-Inputs!$F$3)+0.45*(W11-Inputs!$F$4)-IF(OR($E11="H",$E11="Home",$E11="home"),Inputs!$F$6,IF(OR($E11="A",$E11="Away",$E11="away"),-Inputs!$F$6,0))+Inputs!$F$7*(INDEX(GameInputs!$H:$H,$A11+1)-INDEX(GameInputs!$G:$G,$A11+1))+INDEX(GameInputs!$J:$J,$A11+1),"")</f>
        <v/>
      </c>
      <c r="AE11" t="str">
        <f>IF(ISNUMBER(AB11),Inputs!$F$8+Inputs!$F$9*ABS(INDEX(GameInputs!$G:$G,$A11+1)-INDEX(GameInputs!$H:$H,$A11+1)),"")</f>
        <v/>
      </c>
      <c r="AF11" t="str">
        <f>IF(ISNUMBER(AB11),Inputs!$F$10+Inputs!$F$11*ABS(AB11-Inputs!$F$5),"")</f>
        <v/>
      </c>
    </row>
    <row r="12" spans="1:32" x14ac:dyDescent="0.2">
      <c r="A12" s="21">
        <v>11</v>
      </c>
      <c r="B12" s="21">
        <f>INDEX(GameInputs!$A:$A,$A12+1)</f>
        <v>0</v>
      </c>
      <c r="C12" s="21">
        <f>INDEX(GameInputs!$C:$C,$A12+1)</f>
        <v>0</v>
      </c>
      <c r="D12" s="21">
        <f>INDEX(GameInputs!$B:$B,$A12+1)</f>
        <v>0</v>
      </c>
      <c r="E12" s="21">
        <f>INDEX(GameInputs!$D:$D,$A12+1)</f>
        <v>0</v>
      </c>
      <c r="F12" s="27">
        <f>INDEX(GameInputs!$E:$E,$A12+1)</f>
        <v>0</v>
      </c>
      <c r="G12" s="27" t="str">
        <f t="shared" si="0"/>
        <v/>
      </c>
      <c r="H12" s="27" t="str">
        <f t="shared" si="1"/>
        <v/>
      </c>
      <c r="I12" s="27">
        <f>INDEX(GameInputs!$F:$F,$A12+1)</f>
        <v>0</v>
      </c>
      <c r="J12" s="27" t="str">
        <f t="shared" si="2"/>
        <v/>
      </c>
      <c r="K12" s="27" t="str">
        <f t="shared" si="3"/>
        <v/>
      </c>
      <c r="L12" s="29" t="str">
        <f t="shared" si="4"/>
        <v/>
      </c>
      <c r="M12" s="29" t="str">
        <f t="shared" si="5"/>
        <v/>
      </c>
      <c r="N12" s="29" t="str">
        <f t="shared" si="6"/>
        <v/>
      </c>
      <c r="O12" s="27" t="str">
        <f t="shared" si="7"/>
        <v/>
      </c>
      <c r="P12" s="28" t="str">
        <f t="shared" si="8"/>
        <v/>
      </c>
      <c r="Q12" s="27" t="str">
        <f t="shared" si="9"/>
        <v/>
      </c>
      <c r="R12" s="28" t="str">
        <f t="shared" si="10"/>
        <v/>
      </c>
      <c r="S12" s="27" t="str">
        <f t="shared" si="11"/>
        <v/>
      </c>
      <c r="T12" s="28" t="str">
        <f t="shared" si="12"/>
        <v/>
      </c>
      <c r="U12" s="29" t="str">
        <f t="shared" si="13"/>
        <v/>
      </c>
      <c r="V12" t="str">
        <f>IFERROR(INDEX(BlendedRatings!$E:$E,MATCH($D12,BlendedRatings!$A:$A,0)),"")</f>
        <v/>
      </c>
      <c r="W12" t="str">
        <f>IFERROR(INDEX(BlendedRatings!$F:$F,MATCH($D12,BlendedRatings!$A:$A,0)),"")</f>
        <v/>
      </c>
      <c r="X12" t="str">
        <f>IFERROR(INDEX(BlendedRatings!$G:$G,MATCH($D12,BlendedRatings!$A:$A,0)),"")</f>
        <v/>
      </c>
      <c r="Y12" t="str">
        <f>IFERROR(INDEX(BlendedRatings!$E:$E,MATCH($C12,BlendedRatings!$A:$A,0)),"")</f>
        <v/>
      </c>
      <c r="Z12" t="str">
        <f>IFERROR(INDEX(BlendedRatings!$F:$F,MATCH($C12,BlendedRatings!$A:$A,0)),"")</f>
        <v/>
      </c>
      <c r="AA12" t="str">
        <f>IFERROR(INDEX(BlendedRatings!$G:$G,MATCH($C12,BlendedRatings!$A:$A,0)),"")</f>
        <v/>
      </c>
      <c r="AB12" t="str">
        <f>IF(AND(ISNUMBER(X12),ISNUMBER(AA12),X12&gt;0,AA12&gt;0,ISNUMBER(Inputs!$F$5)),0.85*(2/(1/X12+1/AA12))+0.15*Inputs!$F$5+INDEX(GameInputs!$K:$K,$A12+1)+INDEX(GameInputs!$L:$L,$A12+1),"")</f>
        <v/>
      </c>
      <c r="AC12" t="str">
        <f>IF(AND(ISNUMBER(V12),ISNUMBER(Z12),ISNUMBER(Inputs!$F$3),ISNUMBER(Inputs!$F$4)),Inputs!$F$3+0.55*(V12-Inputs!$F$3)+0.45*(Z12-Inputs!$F$4)+IF(OR($E12="H",$E12="Home",$E12="home"),Inputs!$F$6,IF(OR($E12="A",$E12="Away",$E12="away"),-Inputs!$F$6,0))+Inputs!$F$7*(INDEX(GameInputs!$G:$G,$A12+1)-INDEX(GameInputs!$H:$H,$A12+1))+INDEX(GameInputs!$I:$I,$A12+1),"")</f>
        <v/>
      </c>
      <c r="AD12" t="str">
        <f>IF(AND(ISNUMBER(Y12),ISNUMBER(W12),ISNUMBER(Inputs!$F$3),ISNUMBER(Inputs!$F$4)),Inputs!$F$3+0.55*(Y12-Inputs!$F$3)+0.45*(W12-Inputs!$F$4)-IF(OR($E12="H",$E12="Home",$E12="home"),Inputs!$F$6,IF(OR($E12="A",$E12="Away",$E12="away"),-Inputs!$F$6,0))+Inputs!$F$7*(INDEX(GameInputs!$H:$H,$A12+1)-INDEX(GameInputs!$G:$G,$A12+1))+INDEX(GameInputs!$J:$J,$A12+1),"")</f>
        <v/>
      </c>
      <c r="AE12" t="str">
        <f>IF(ISNUMBER(AB12),Inputs!$F$8+Inputs!$F$9*ABS(INDEX(GameInputs!$G:$G,$A12+1)-INDEX(GameInputs!$H:$H,$A12+1)),"")</f>
        <v/>
      </c>
      <c r="AF12" t="str">
        <f>IF(ISNUMBER(AB12),Inputs!$F$10+Inputs!$F$11*ABS(AB12-Inputs!$F$5),"")</f>
        <v/>
      </c>
    </row>
    <row r="13" spans="1:32" x14ac:dyDescent="0.2">
      <c r="A13" s="21">
        <v>12</v>
      </c>
      <c r="B13" s="21">
        <f>INDEX(GameInputs!$A:$A,$A13+1)</f>
        <v>0</v>
      </c>
      <c r="C13" s="21">
        <f>INDEX(GameInputs!$C:$C,$A13+1)</f>
        <v>0</v>
      </c>
      <c r="D13" s="21">
        <f>INDEX(GameInputs!$B:$B,$A13+1)</f>
        <v>0</v>
      </c>
      <c r="E13" s="21">
        <f>INDEX(GameInputs!$D:$D,$A13+1)</f>
        <v>0</v>
      </c>
      <c r="F13" s="27">
        <f>INDEX(GameInputs!$E:$E,$A13+1)</f>
        <v>0</v>
      </c>
      <c r="G13" s="27" t="str">
        <f t="shared" si="0"/>
        <v/>
      </c>
      <c r="H13" s="27" t="str">
        <f t="shared" si="1"/>
        <v/>
      </c>
      <c r="I13" s="27">
        <f>INDEX(GameInputs!$F:$F,$A13+1)</f>
        <v>0</v>
      </c>
      <c r="J13" s="27" t="str">
        <f t="shared" si="2"/>
        <v/>
      </c>
      <c r="K13" s="27" t="str">
        <f t="shared" si="3"/>
        <v/>
      </c>
      <c r="L13" s="29" t="str">
        <f t="shared" si="4"/>
        <v/>
      </c>
      <c r="M13" s="29" t="str">
        <f t="shared" si="5"/>
        <v/>
      </c>
      <c r="N13" s="29" t="str">
        <f t="shared" si="6"/>
        <v/>
      </c>
      <c r="O13" s="27" t="str">
        <f t="shared" si="7"/>
        <v/>
      </c>
      <c r="P13" s="28" t="str">
        <f t="shared" si="8"/>
        <v/>
      </c>
      <c r="Q13" s="27" t="str">
        <f t="shared" si="9"/>
        <v/>
      </c>
      <c r="R13" s="28" t="str">
        <f t="shared" si="10"/>
        <v/>
      </c>
      <c r="S13" s="27" t="str">
        <f t="shared" si="11"/>
        <v/>
      </c>
      <c r="T13" s="28" t="str">
        <f t="shared" si="12"/>
        <v/>
      </c>
      <c r="U13" s="29" t="str">
        <f t="shared" si="13"/>
        <v/>
      </c>
      <c r="V13" t="str">
        <f>IFERROR(INDEX(BlendedRatings!$E:$E,MATCH($D13,BlendedRatings!$A:$A,0)),"")</f>
        <v/>
      </c>
      <c r="W13" t="str">
        <f>IFERROR(INDEX(BlendedRatings!$F:$F,MATCH($D13,BlendedRatings!$A:$A,0)),"")</f>
        <v/>
      </c>
      <c r="X13" t="str">
        <f>IFERROR(INDEX(BlendedRatings!$G:$G,MATCH($D13,BlendedRatings!$A:$A,0)),"")</f>
        <v/>
      </c>
      <c r="Y13" t="str">
        <f>IFERROR(INDEX(BlendedRatings!$E:$E,MATCH($C13,BlendedRatings!$A:$A,0)),"")</f>
        <v/>
      </c>
      <c r="Z13" t="str">
        <f>IFERROR(INDEX(BlendedRatings!$F:$F,MATCH($C13,BlendedRatings!$A:$A,0)),"")</f>
        <v/>
      </c>
      <c r="AA13" t="str">
        <f>IFERROR(INDEX(BlendedRatings!$G:$G,MATCH($C13,BlendedRatings!$A:$A,0)),"")</f>
        <v/>
      </c>
      <c r="AB13" t="str">
        <f>IF(AND(ISNUMBER(X13),ISNUMBER(AA13),X13&gt;0,AA13&gt;0,ISNUMBER(Inputs!$F$5)),0.85*(2/(1/X13+1/AA13))+0.15*Inputs!$F$5+INDEX(GameInputs!$K:$K,$A13+1)+INDEX(GameInputs!$L:$L,$A13+1),"")</f>
        <v/>
      </c>
      <c r="AC13" t="str">
        <f>IF(AND(ISNUMBER(V13),ISNUMBER(Z13),ISNUMBER(Inputs!$F$3),ISNUMBER(Inputs!$F$4)),Inputs!$F$3+0.55*(V13-Inputs!$F$3)+0.45*(Z13-Inputs!$F$4)+IF(OR($E13="H",$E13="Home",$E13="home"),Inputs!$F$6,IF(OR($E13="A",$E13="Away",$E13="away"),-Inputs!$F$6,0))+Inputs!$F$7*(INDEX(GameInputs!$G:$G,$A13+1)-INDEX(GameInputs!$H:$H,$A13+1))+INDEX(GameInputs!$I:$I,$A13+1),"")</f>
        <v/>
      </c>
      <c r="AD13" t="str">
        <f>IF(AND(ISNUMBER(Y13),ISNUMBER(W13),ISNUMBER(Inputs!$F$3),ISNUMBER(Inputs!$F$4)),Inputs!$F$3+0.55*(Y13-Inputs!$F$3)+0.45*(W13-Inputs!$F$4)-IF(OR($E13="H",$E13="Home",$E13="home"),Inputs!$F$6,IF(OR($E13="A",$E13="Away",$E13="away"),-Inputs!$F$6,0))+Inputs!$F$7*(INDEX(GameInputs!$H:$H,$A13+1)-INDEX(GameInputs!$G:$G,$A13+1))+INDEX(GameInputs!$J:$J,$A13+1),"")</f>
        <v/>
      </c>
      <c r="AE13" t="str">
        <f>IF(ISNUMBER(AB13),Inputs!$F$8+Inputs!$F$9*ABS(INDEX(GameInputs!$G:$G,$A13+1)-INDEX(GameInputs!$H:$H,$A13+1)),"")</f>
        <v/>
      </c>
      <c r="AF13" t="str">
        <f>IF(ISNUMBER(AB13),Inputs!$F$10+Inputs!$F$11*ABS(AB13-Inputs!$F$5),"")</f>
        <v/>
      </c>
    </row>
    <row r="14" spans="1:32" x14ac:dyDescent="0.2">
      <c r="A14" s="21">
        <v>13</v>
      </c>
      <c r="B14" s="21">
        <f>INDEX(GameInputs!$A:$A,$A14+1)</f>
        <v>0</v>
      </c>
      <c r="C14" s="21">
        <f>INDEX(GameInputs!$C:$C,$A14+1)</f>
        <v>0</v>
      </c>
      <c r="D14" s="21">
        <f>INDEX(GameInputs!$B:$B,$A14+1)</f>
        <v>0</v>
      </c>
      <c r="E14" s="21">
        <f>INDEX(GameInputs!$D:$D,$A14+1)</f>
        <v>0</v>
      </c>
      <c r="F14" s="27">
        <f>INDEX(GameInputs!$E:$E,$A14+1)</f>
        <v>0</v>
      </c>
      <c r="G14" s="27" t="str">
        <f t="shared" si="0"/>
        <v/>
      </c>
      <c r="H14" s="27" t="str">
        <f t="shared" si="1"/>
        <v/>
      </c>
      <c r="I14" s="27">
        <f>INDEX(GameInputs!$F:$F,$A14+1)</f>
        <v>0</v>
      </c>
      <c r="J14" s="27" t="str">
        <f t="shared" si="2"/>
        <v/>
      </c>
      <c r="K14" s="27" t="str">
        <f t="shared" si="3"/>
        <v/>
      </c>
      <c r="L14" s="29" t="str">
        <f t="shared" si="4"/>
        <v/>
      </c>
      <c r="M14" s="29" t="str">
        <f t="shared" si="5"/>
        <v/>
      </c>
      <c r="N14" s="29" t="str">
        <f t="shared" si="6"/>
        <v/>
      </c>
      <c r="O14" s="27" t="str">
        <f t="shared" si="7"/>
        <v/>
      </c>
      <c r="P14" s="28" t="str">
        <f t="shared" si="8"/>
        <v/>
      </c>
      <c r="Q14" s="27" t="str">
        <f t="shared" si="9"/>
        <v/>
      </c>
      <c r="R14" s="28" t="str">
        <f t="shared" si="10"/>
        <v/>
      </c>
      <c r="S14" s="27" t="str">
        <f t="shared" si="11"/>
        <v/>
      </c>
      <c r="T14" s="28" t="str">
        <f t="shared" si="12"/>
        <v/>
      </c>
      <c r="U14" s="29" t="str">
        <f t="shared" si="13"/>
        <v/>
      </c>
      <c r="V14" t="str">
        <f>IFERROR(INDEX(BlendedRatings!$E:$E,MATCH($D14,BlendedRatings!$A:$A,0)),"")</f>
        <v/>
      </c>
      <c r="W14" t="str">
        <f>IFERROR(INDEX(BlendedRatings!$F:$F,MATCH($D14,BlendedRatings!$A:$A,0)),"")</f>
        <v/>
      </c>
      <c r="X14" t="str">
        <f>IFERROR(INDEX(BlendedRatings!$G:$G,MATCH($D14,BlendedRatings!$A:$A,0)),"")</f>
        <v/>
      </c>
      <c r="Y14" t="str">
        <f>IFERROR(INDEX(BlendedRatings!$E:$E,MATCH($C14,BlendedRatings!$A:$A,0)),"")</f>
        <v/>
      </c>
      <c r="Z14" t="str">
        <f>IFERROR(INDEX(BlendedRatings!$F:$F,MATCH($C14,BlendedRatings!$A:$A,0)),"")</f>
        <v/>
      </c>
      <c r="AA14" t="str">
        <f>IFERROR(INDEX(BlendedRatings!$G:$G,MATCH($C14,BlendedRatings!$A:$A,0)),"")</f>
        <v/>
      </c>
      <c r="AB14" t="str">
        <f>IF(AND(ISNUMBER(X14),ISNUMBER(AA14),X14&gt;0,AA14&gt;0,ISNUMBER(Inputs!$F$5)),0.85*(2/(1/X14+1/AA14))+0.15*Inputs!$F$5+INDEX(GameInputs!$K:$K,$A14+1)+INDEX(GameInputs!$L:$L,$A14+1),"")</f>
        <v/>
      </c>
      <c r="AC14" t="str">
        <f>IF(AND(ISNUMBER(V14),ISNUMBER(Z14),ISNUMBER(Inputs!$F$3),ISNUMBER(Inputs!$F$4)),Inputs!$F$3+0.55*(V14-Inputs!$F$3)+0.45*(Z14-Inputs!$F$4)+IF(OR($E14="H",$E14="Home",$E14="home"),Inputs!$F$6,IF(OR($E14="A",$E14="Away",$E14="away"),-Inputs!$F$6,0))+Inputs!$F$7*(INDEX(GameInputs!$G:$G,$A14+1)-INDEX(GameInputs!$H:$H,$A14+1))+INDEX(GameInputs!$I:$I,$A14+1),"")</f>
        <v/>
      </c>
      <c r="AD14" t="str">
        <f>IF(AND(ISNUMBER(Y14),ISNUMBER(W14),ISNUMBER(Inputs!$F$3),ISNUMBER(Inputs!$F$4)),Inputs!$F$3+0.55*(Y14-Inputs!$F$3)+0.45*(W14-Inputs!$F$4)-IF(OR($E14="H",$E14="Home",$E14="home"),Inputs!$F$6,IF(OR($E14="A",$E14="Away",$E14="away"),-Inputs!$F$6,0))+Inputs!$F$7*(INDEX(GameInputs!$H:$H,$A14+1)-INDEX(GameInputs!$G:$G,$A14+1))+INDEX(GameInputs!$J:$J,$A14+1),"")</f>
        <v/>
      </c>
      <c r="AE14" t="str">
        <f>IF(ISNUMBER(AB14),Inputs!$F$8+Inputs!$F$9*ABS(INDEX(GameInputs!$G:$G,$A14+1)-INDEX(GameInputs!$H:$H,$A14+1)),"")</f>
        <v/>
      </c>
      <c r="AF14" t="str">
        <f>IF(ISNUMBER(AB14),Inputs!$F$10+Inputs!$F$11*ABS(AB14-Inputs!$F$5),"")</f>
        <v/>
      </c>
    </row>
    <row r="15" spans="1:32" x14ac:dyDescent="0.2">
      <c r="A15" s="21">
        <v>14</v>
      </c>
      <c r="B15" s="21">
        <f>INDEX(GameInputs!$A:$A,$A15+1)</f>
        <v>0</v>
      </c>
      <c r="C15" s="21">
        <f>INDEX(GameInputs!$C:$C,$A15+1)</f>
        <v>0</v>
      </c>
      <c r="D15" s="21">
        <f>INDEX(GameInputs!$B:$B,$A15+1)</f>
        <v>0</v>
      </c>
      <c r="E15" s="21">
        <f>INDEX(GameInputs!$D:$D,$A15+1)</f>
        <v>0</v>
      </c>
      <c r="F15" s="27">
        <f>INDEX(GameInputs!$E:$E,$A15+1)</f>
        <v>0</v>
      </c>
      <c r="G15" s="27" t="str">
        <f t="shared" si="0"/>
        <v/>
      </c>
      <c r="H15" s="27" t="str">
        <f t="shared" si="1"/>
        <v/>
      </c>
      <c r="I15" s="27">
        <f>INDEX(GameInputs!$F:$F,$A15+1)</f>
        <v>0</v>
      </c>
      <c r="J15" s="27" t="str">
        <f t="shared" si="2"/>
        <v/>
      </c>
      <c r="K15" s="27" t="str">
        <f t="shared" si="3"/>
        <v/>
      </c>
      <c r="L15" s="29" t="str">
        <f t="shared" si="4"/>
        <v/>
      </c>
      <c r="M15" s="29" t="str">
        <f t="shared" si="5"/>
        <v/>
      </c>
      <c r="N15" s="29" t="str">
        <f t="shared" si="6"/>
        <v/>
      </c>
      <c r="O15" s="27" t="str">
        <f t="shared" si="7"/>
        <v/>
      </c>
      <c r="P15" s="28" t="str">
        <f t="shared" si="8"/>
        <v/>
      </c>
      <c r="Q15" s="27" t="str">
        <f t="shared" si="9"/>
        <v/>
      </c>
      <c r="R15" s="28" t="str">
        <f t="shared" si="10"/>
        <v/>
      </c>
      <c r="S15" s="27" t="str">
        <f t="shared" si="11"/>
        <v/>
      </c>
      <c r="T15" s="28" t="str">
        <f t="shared" si="12"/>
        <v/>
      </c>
      <c r="U15" s="29" t="str">
        <f t="shared" si="13"/>
        <v/>
      </c>
      <c r="V15" t="str">
        <f>IFERROR(INDEX(BlendedRatings!$E:$E,MATCH($D15,BlendedRatings!$A:$A,0)),"")</f>
        <v/>
      </c>
      <c r="W15" t="str">
        <f>IFERROR(INDEX(BlendedRatings!$F:$F,MATCH($D15,BlendedRatings!$A:$A,0)),"")</f>
        <v/>
      </c>
      <c r="X15" t="str">
        <f>IFERROR(INDEX(BlendedRatings!$G:$G,MATCH($D15,BlendedRatings!$A:$A,0)),"")</f>
        <v/>
      </c>
      <c r="Y15" t="str">
        <f>IFERROR(INDEX(BlendedRatings!$E:$E,MATCH($C15,BlendedRatings!$A:$A,0)),"")</f>
        <v/>
      </c>
      <c r="Z15" t="str">
        <f>IFERROR(INDEX(BlendedRatings!$F:$F,MATCH($C15,BlendedRatings!$A:$A,0)),"")</f>
        <v/>
      </c>
      <c r="AA15" t="str">
        <f>IFERROR(INDEX(BlendedRatings!$G:$G,MATCH($C15,BlendedRatings!$A:$A,0)),"")</f>
        <v/>
      </c>
      <c r="AB15" t="str">
        <f>IF(AND(ISNUMBER(X15),ISNUMBER(AA15),X15&gt;0,AA15&gt;0,ISNUMBER(Inputs!$F$5)),0.85*(2/(1/X15+1/AA15))+0.15*Inputs!$F$5+INDEX(GameInputs!$K:$K,$A15+1)+INDEX(GameInputs!$L:$L,$A15+1),"")</f>
        <v/>
      </c>
      <c r="AC15" t="str">
        <f>IF(AND(ISNUMBER(V15),ISNUMBER(Z15),ISNUMBER(Inputs!$F$3),ISNUMBER(Inputs!$F$4)),Inputs!$F$3+0.55*(V15-Inputs!$F$3)+0.45*(Z15-Inputs!$F$4)+IF(OR($E15="H",$E15="Home",$E15="home"),Inputs!$F$6,IF(OR($E15="A",$E15="Away",$E15="away"),-Inputs!$F$6,0))+Inputs!$F$7*(INDEX(GameInputs!$G:$G,$A15+1)-INDEX(GameInputs!$H:$H,$A15+1))+INDEX(GameInputs!$I:$I,$A15+1),"")</f>
        <v/>
      </c>
      <c r="AD15" t="str">
        <f>IF(AND(ISNUMBER(Y15),ISNUMBER(W15),ISNUMBER(Inputs!$F$3),ISNUMBER(Inputs!$F$4)),Inputs!$F$3+0.55*(Y15-Inputs!$F$3)+0.45*(W15-Inputs!$F$4)-IF(OR($E15="H",$E15="Home",$E15="home"),Inputs!$F$6,IF(OR($E15="A",$E15="Away",$E15="away"),-Inputs!$F$6,0))+Inputs!$F$7*(INDEX(GameInputs!$H:$H,$A15+1)-INDEX(GameInputs!$G:$G,$A15+1))+INDEX(GameInputs!$J:$J,$A15+1),"")</f>
        <v/>
      </c>
      <c r="AE15" t="str">
        <f>IF(ISNUMBER(AB15),Inputs!$F$8+Inputs!$F$9*ABS(INDEX(GameInputs!$G:$G,$A15+1)-INDEX(GameInputs!$H:$H,$A15+1)),"")</f>
        <v/>
      </c>
      <c r="AF15" t="str">
        <f>IF(ISNUMBER(AB15),Inputs!$F$10+Inputs!$F$11*ABS(AB15-Inputs!$F$5),"")</f>
        <v/>
      </c>
    </row>
    <row r="16" spans="1:32" x14ac:dyDescent="0.2">
      <c r="A16" s="21">
        <v>15</v>
      </c>
      <c r="B16" s="21">
        <f>INDEX(GameInputs!$A:$A,$A16+1)</f>
        <v>0</v>
      </c>
      <c r="C16" s="21">
        <f>INDEX(GameInputs!$C:$C,$A16+1)</f>
        <v>0</v>
      </c>
      <c r="D16" s="21">
        <f>INDEX(GameInputs!$B:$B,$A16+1)</f>
        <v>0</v>
      </c>
      <c r="E16" s="21">
        <f>INDEX(GameInputs!$D:$D,$A16+1)</f>
        <v>0</v>
      </c>
      <c r="F16" s="27">
        <f>INDEX(GameInputs!$E:$E,$A16+1)</f>
        <v>0</v>
      </c>
      <c r="G16" s="27" t="str">
        <f t="shared" si="0"/>
        <v/>
      </c>
      <c r="H16" s="27" t="str">
        <f t="shared" si="1"/>
        <v/>
      </c>
      <c r="I16" s="27">
        <f>INDEX(GameInputs!$F:$F,$A16+1)</f>
        <v>0</v>
      </c>
      <c r="J16" s="27" t="str">
        <f t="shared" si="2"/>
        <v/>
      </c>
      <c r="K16" s="27" t="str">
        <f t="shared" si="3"/>
        <v/>
      </c>
      <c r="L16" s="29" t="str">
        <f t="shared" si="4"/>
        <v/>
      </c>
      <c r="M16" s="29" t="str">
        <f t="shared" si="5"/>
        <v/>
      </c>
      <c r="N16" s="29" t="str">
        <f t="shared" si="6"/>
        <v/>
      </c>
      <c r="O16" s="27" t="str">
        <f t="shared" si="7"/>
        <v/>
      </c>
      <c r="P16" s="28" t="str">
        <f t="shared" si="8"/>
        <v/>
      </c>
      <c r="Q16" s="27" t="str">
        <f t="shared" si="9"/>
        <v/>
      </c>
      <c r="R16" s="28" t="str">
        <f t="shared" si="10"/>
        <v/>
      </c>
      <c r="S16" s="27" t="str">
        <f t="shared" si="11"/>
        <v/>
      </c>
      <c r="T16" s="28" t="str">
        <f t="shared" si="12"/>
        <v/>
      </c>
      <c r="U16" s="29" t="str">
        <f t="shared" si="13"/>
        <v/>
      </c>
      <c r="V16" t="str">
        <f>IFERROR(INDEX(BlendedRatings!$E:$E,MATCH($D16,BlendedRatings!$A:$A,0)),"")</f>
        <v/>
      </c>
      <c r="W16" t="str">
        <f>IFERROR(INDEX(BlendedRatings!$F:$F,MATCH($D16,BlendedRatings!$A:$A,0)),"")</f>
        <v/>
      </c>
      <c r="X16" t="str">
        <f>IFERROR(INDEX(BlendedRatings!$G:$G,MATCH($D16,BlendedRatings!$A:$A,0)),"")</f>
        <v/>
      </c>
      <c r="Y16" t="str">
        <f>IFERROR(INDEX(BlendedRatings!$E:$E,MATCH($C16,BlendedRatings!$A:$A,0)),"")</f>
        <v/>
      </c>
      <c r="Z16" t="str">
        <f>IFERROR(INDEX(BlendedRatings!$F:$F,MATCH($C16,BlendedRatings!$A:$A,0)),"")</f>
        <v/>
      </c>
      <c r="AA16" t="str">
        <f>IFERROR(INDEX(BlendedRatings!$G:$G,MATCH($C16,BlendedRatings!$A:$A,0)),"")</f>
        <v/>
      </c>
      <c r="AB16" t="str">
        <f>IF(AND(ISNUMBER(X16),ISNUMBER(AA16),X16&gt;0,AA16&gt;0,ISNUMBER(Inputs!$F$5)),0.85*(2/(1/X16+1/AA16))+0.15*Inputs!$F$5+INDEX(GameInputs!$K:$K,$A16+1)+INDEX(GameInputs!$L:$L,$A16+1),"")</f>
        <v/>
      </c>
      <c r="AC16" t="str">
        <f>IF(AND(ISNUMBER(V16),ISNUMBER(Z16),ISNUMBER(Inputs!$F$3),ISNUMBER(Inputs!$F$4)),Inputs!$F$3+0.55*(V16-Inputs!$F$3)+0.45*(Z16-Inputs!$F$4)+IF(OR($E16="H",$E16="Home",$E16="home"),Inputs!$F$6,IF(OR($E16="A",$E16="Away",$E16="away"),-Inputs!$F$6,0))+Inputs!$F$7*(INDEX(GameInputs!$G:$G,$A16+1)-INDEX(GameInputs!$H:$H,$A16+1))+INDEX(GameInputs!$I:$I,$A16+1),"")</f>
        <v/>
      </c>
      <c r="AD16" t="str">
        <f>IF(AND(ISNUMBER(Y16),ISNUMBER(W16),ISNUMBER(Inputs!$F$3),ISNUMBER(Inputs!$F$4)),Inputs!$F$3+0.55*(Y16-Inputs!$F$3)+0.45*(W16-Inputs!$F$4)-IF(OR($E16="H",$E16="Home",$E16="home"),Inputs!$F$6,IF(OR($E16="A",$E16="Away",$E16="away"),-Inputs!$F$6,0))+Inputs!$F$7*(INDEX(GameInputs!$H:$H,$A16+1)-INDEX(GameInputs!$G:$G,$A16+1))+INDEX(GameInputs!$J:$J,$A16+1),"")</f>
        <v/>
      </c>
      <c r="AE16" t="str">
        <f>IF(ISNUMBER(AB16),Inputs!$F$8+Inputs!$F$9*ABS(INDEX(GameInputs!$G:$G,$A16+1)-INDEX(GameInputs!$H:$H,$A16+1)),"")</f>
        <v/>
      </c>
      <c r="AF16" t="str">
        <f>IF(ISNUMBER(AB16),Inputs!$F$10+Inputs!$F$11*ABS(AB16-Inputs!$F$5),"")</f>
        <v/>
      </c>
    </row>
    <row r="17" spans="1:32" x14ac:dyDescent="0.2">
      <c r="A17" s="21">
        <v>16</v>
      </c>
      <c r="B17" s="21">
        <f>INDEX(GameInputs!$A:$A,$A17+1)</f>
        <v>0</v>
      </c>
      <c r="C17" s="21">
        <f>INDEX(GameInputs!$C:$C,$A17+1)</f>
        <v>0</v>
      </c>
      <c r="D17" s="21">
        <f>INDEX(GameInputs!$B:$B,$A17+1)</f>
        <v>0</v>
      </c>
      <c r="E17" s="21">
        <f>INDEX(GameInputs!$D:$D,$A17+1)</f>
        <v>0</v>
      </c>
      <c r="F17" s="27">
        <f>INDEX(GameInputs!$E:$E,$A17+1)</f>
        <v>0</v>
      </c>
      <c r="G17" s="27" t="str">
        <f t="shared" si="0"/>
        <v/>
      </c>
      <c r="H17" s="27" t="str">
        <f t="shared" si="1"/>
        <v/>
      </c>
      <c r="I17" s="27">
        <f>INDEX(GameInputs!$F:$F,$A17+1)</f>
        <v>0</v>
      </c>
      <c r="J17" s="27" t="str">
        <f t="shared" si="2"/>
        <v/>
      </c>
      <c r="K17" s="27" t="str">
        <f t="shared" si="3"/>
        <v/>
      </c>
      <c r="L17" s="29" t="str">
        <f t="shared" si="4"/>
        <v/>
      </c>
      <c r="M17" s="29" t="str">
        <f t="shared" si="5"/>
        <v/>
      </c>
      <c r="N17" s="29" t="str">
        <f t="shared" si="6"/>
        <v/>
      </c>
      <c r="O17" s="27" t="str">
        <f t="shared" si="7"/>
        <v/>
      </c>
      <c r="P17" s="28" t="str">
        <f t="shared" si="8"/>
        <v/>
      </c>
      <c r="Q17" s="27" t="str">
        <f t="shared" si="9"/>
        <v/>
      </c>
      <c r="R17" s="28" t="str">
        <f t="shared" si="10"/>
        <v/>
      </c>
      <c r="S17" s="27" t="str">
        <f t="shared" si="11"/>
        <v/>
      </c>
      <c r="T17" s="28" t="str">
        <f t="shared" si="12"/>
        <v/>
      </c>
      <c r="U17" s="29" t="str">
        <f t="shared" si="13"/>
        <v/>
      </c>
      <c r="V17" t="str">
        <f>IFERROR(INDEX(BlendedRatings!$E:$E,MATCH($D17,BlendedRatings!$A:$A,0)),"")</f>
        <v/>
      </c>
      <c r="W17" t="str">
        <f>IFERROR(INDEX(BlendedRatings!$F:$F,MATCH($D17,BlendedRatings!$A:$A,0)),"")</f>
        <v/>
      </c>
      <c r="X17" t="str">
        <f>IFERROR(INDEX(BlendedRatings!$G:$G,MATCH($D17,BlendedRatings!$A:$A,0)),"")</f>
        <v/>
      </c>
      <c r="Y17" t="str">
        <f>IFERROR(INDEX(BlendedRatings!$E:$E,MATCH($C17,BlendedRatings!$A:$A,0)),"")</f>
        <v/>
      </c>
      <c r="Z17" t="str">
        <f>IFERROR(INDEX(BlendedRatings!$F:$F,MATCH($C17,BlendedRatings!$A:$A,0)),"")</f>
        <v/>
      </c>
      <c r="AA17" t="str">
        <f>IFERROR(INDEX(BlendedRatings!$G:$G,MATCH($C17,BlendedRatings!$A:$A,0)),"")</f>
        <v/>
      </c>
      <c r="AB17" t="str">
        <f>IF(AND(ISNUMBER(X17),ISNUMBER(AA17),X17&gt;0,AA17&gt;0,ISNUMBER(Inputs!$F$5)),0.85*(2/(1/X17+1/AA17))+0.15*Inputs!$F$5+INDEX(GameInputs!$K:$K,$A17+1)+INDEX(GameInputs!$L:$L,$A17+1),"")</f>
        <v/>
      </c>
      <c r="AC17" t="str">
        <f>IF(AND(ISNUMBER(V17),ISNUMBER(Z17),ISNUMBER(Inputs!$F$3),ISNUMBER(Inputs!$F$4)),Inputs!$F$3+0.55*(V17-Inputs!$F$3)+0.45*(Z17-Inputs!$F$4)+IF(OR($E17="H",$E17="Home",$E17="home"),Inputs!$F$6,IF(OR($E17="A",$E17="Away",$E17="away"),-Inputs!$F$6,0))+Inputs!$F$7*(INDEX(GameInputs!$G:$G,$A17+1)-INDEX(GameInputs!$H:$H,$A17+1))+INDEX(GameInputs!$I:$I,$A17+1),"")</f>
        <v/>
      </c>
      <c r="AD17" t="str">
        <f>IF(AND(ISNUMBER(Y17),ISNUMBER(W17),ISNUMBER(Inputs!$F$3),ISNUMBER(Inputs!$F$4)),Inputs!$F$3+0.55*(Y17-Inputs!$F$3)+0.45*(W17-Inputs!$F$4)-IF(OR($E17="H",$E17="Home",$E17="home"),Inputs!$F$6,IF(OR($E17="A",$E17="Away",$E17="away"),-Inputs!$F$6,0))+Inputs!$F$7*(INDEX(GameInputs!$H:$H,$A17+1)-INDEX(GameInputs!$G:$G,$A17+1))+INDEX(GameInputs!$J:$J,$A17+1),"")</f>
        <v/>
      </c>
      <c r="AE17" t="str">
        <f>IF(ISNUMBER(AB17),Inputs!$F$8+Inputs!$F$9*ABS(INDEX(GameInputs!$G:$G,$A17+1)-INDEX(GameInputs!$H:$H,$A17+1)),"")</f>
        <v/>
      </c>
      <c r="AF17" t="str">
        <f>IF(ISNUMBER(AB17),Inputs!$F$10+Inputs!$F$11*ABS(AB17-Inputs!$F$5),"")</f>
        <v/>
      </c>
    </row>
    <row r="18" spans="1:32" x14ac:dyDescent="0.2">
      <c r="A18" s="21">
        <v>17</v>
      </c>
      <c r="B18" s="21">
        <f>INDEX(GameInputs!$A:$A,$A18+1)</f>
        <v>0</v>
      </c>
      <c r="C18" s="21">
        <f>INDEX(GameInputs!$C:$C,$A18+1)</f>
        <v>0</v>
      </c>
      <c r="D18" s="21">
        <f>INDEX(GameInputs!$B:$B,$A18+1)</f>
        <v>0</v>
      </c>
      <c r="E18" s="21">
        <f>INDEX(GameInputs!$D:$D,$A18+1)</f>
        <v>0</v>
      </c>
      <c r="F18" s="27">
        <f>INDEX(GameInputs!$E:$E,$A18+1)</f>
        <v>0</v>
      </c>
      <c r="G18" s="27" t="str">
        <f t="shared" si="0"/>
        <v/>
      </c>
      <c r="H18" s="27" t="str">
        <f t="shared" si="1"/>
        <v/>
      </c>
      <c r="I18" s="27">
        <f>INDEX(GameInputs!$F:$F,$A18+1)</f>
        <v>0</v>
      </c>
      <c r="J18" s="27" t="str">
        <f t="shared" si="2"/>
        <v/>
      </c>
      <c r="K18" s="27" t="str">
        <f t="shared" si="3"/>
        <v/>
      </c>
      <c r="L18" s="29" t="str">
        <f t="shared" si="4"/>
        <v/>
      </c>
      <c r="M18" s="29" t="str">
        <f t="shared" si="5"/>
        <v/>
      </c>
      <c r="N18" s="29" t="str">
        <f t="shared" si="6"/>
        <v/>
      </c>
      <c r="O18" s="27" t="str">
        <f t="shared" si="7"/>
        <v/>
      </c>
      <c r="P18" s="28" t="str">
        <f t="shared" si="8"/>
        <v/>
      </c>
      <c r="Q18" s="27" t="str">
        <f t="shared" si="9"/>
        <v/>
      </c>
      <c r="R18" s="28" t="str">
        <f t="shared" si="10"/>
        <v/>
      </c>
      <c r="S18" s="27" t="str">
        <f t="shared" si="11"/>
        <v/>
      </c>
      <c r="T18" s="28" t="str">
        <f t="shared" si="12"/>
        <v/>
      </c>
      <c r="U18" s="29" t="str">
        <f t="shared" si="13"/>
        <v/>
      </c>
      <c r="V18" t="str">
        <f>IFERROR(INDEX(BlendedRatings!$E:$E,MATCH($D18,BlendedRatings!$A:$A,0)),"")</f>
        <v/>
      </c>
      <c r="W18" t="str">
        <f>IFERROR(INDEX(BlendedRatings!$F:$F,MATCH($D18,BlendedRatings!$A:$A,0)),"")</f>
        <v/>
      </c>
      <c r="X18" t="str">
        <f>IFERROR(INDEX(BlendedRatings!$G:$G,MATCH($D18,BlendedRatings!$A:$A,0)),"")</f>
        <v/>
      </c>
      <c r="Y18" t="str">
        <f>IFERROR(INDEX(BlendedRatings!$E:$E,MATCH($C18,BlendedRatings!$A:$A,0)),"")</f>
        <v/>
      </c>
      <c r="Z18" t="str">
        <f>IFERROR(INDEX(BlendedRatings!$F:$F,MATCH($C18,BlendedRatings!$A:$A,0)),"")</f>
        <v/>
      </c>
      <c r="AA18" t="str">
        <f>IFERROR(INDEX(BlendedRatings!$G:$G,MATCH($C18,BlendedRatings!$A:$A,0)),"")</f>
        <v/>
      </c>
      <c r="AB18" t="str">
        <f>IF(AND(ISNUMBER(X18),ISNUMBER(AA18),X18&gt;0,AA18&gt;0,ISNUMBER(Inputs!$F$5)),0.85*(2/(1/X18+1/AA18))+0.15*Inputs!$F$5+INDEX(GameInputs!$K:$K,$A18+1)+INDEX(GameInputs!$L:$L,$A18+1),"")</f>
        <v/>
      </c>
      <c r="AC18" t="str">
        <f>IF(AND(ISNUMBER(V18),ISNUMBER(Z18),ISNUMBER(Inputs!$F$3),ISNUMBER(Inputs!$F$4)),Inputs!$F$3+0.55*(V18-Inputs!$F$3)+0.45*(Z18-Inputs!$F$4)+IF(OR($E18="H",$E18="Home",$E18="home"),Inputs!$F$6,IF(OR($E18="A",$E18="Away",$E18="away"),-Inputs!$F$6,0))+Inputs!$F$7*(INDEX(GameInputs!$G:$G,$A18+1)-INDEX(GameInputs!$H:$H,$A18+1))+INDEX(GameInputs!$I:$I,$A18+1),"")</f>
        <v/>
      </c>
      <c r="AD18" t="str">
        <f>IF(AND(ISNUMBER(Y18),ISNUMBER(W18),ISNUMBER(Inputs!$F$3),ISNUMBER(Inputs!$F$4)),Inputs!$F$3+0.55*(Y18-Inputs!$F$3)+0.45*(W18-Inputs!$F$4)-IF(OR($E18="H",$E18="Home",$E18="home"),Inputs!$F$6,IF(OR($E18="A",$E18="Away",$E18="away"),-Inputs!$F$6,0))+Inputs!$F$7*(INDEX(GameInputs!$H:$H,$A18+1)-INDEX(GameInputs!$G:$G,$A18+1))+INDEX(GameInputs!$J:$J,$A18+1),"")</f>
        <v/>
      </c>
      <c r="AE18" t="str">
        <f>IF(ISNUMBER(AB18),Inputs!$F$8+Inputs!$F$9*ABS(INDEX(GameInputs!$G:$G,$A18+1)-INDEX(GameInputs!$H:$H,$A18+1)),"")</f>
        <v/>
      </c>
      <c r="AF18" t="str">
        <f>IF(ISNUMBER(AB18),Inputs!$F$10+Inputs!$F$11*ABS(AB18-Inputs!$F$5),"")</f>
        <v/>
      </c>
    </row>
    <row r="19" spans="1:32" x14ac:dyDescent="0.2">
      <c r="A19" s="21">
        <v>18</v>
      </c>
      <c r="B19" s="21">
        <f>INDEX(GameInputs!$A:$A,$A19+1)</f>
        <v>0</v>
      </c>
      <c r="C19" s="21">
        <f>INDEX(GameInputs!$C:$C,$A19+1)</f>
        <v>0</v>
      </c>
      <c r="D19" s="21">
        <f>INDEX(GameInputs!$B:$B,$A19+1)</f>
        <v>0</v>
      </c>
      <c r="E19" s="21">
        <f>INDEX(GameInputs!$D:$D,$A19+1)</f>
        <v>0</v>
      </c>
      <c r="F19" s="27">
        <f>INDEX(GameInputs!$E:$E,$A19+1)</f>
        <v>0</v>
      </c>
      <c r="G19" s="27" t="str">
        <f t="shared" si="0"/>
        <v/>
      </c>
      <c r="H19" s="27" t="str">
        <f t="shared" si="1"/>
        <v/>
      </c>
      <c r="I19" s="27">
        <f>INDEX(GameInputs!$F:$F,$A19+1)</f>
        <v>0</v>
      </c>
      <c r="J19" s="27" t="str">
        <f t="shared" si="2"/>
        <v/>
      </c>
      <c r="K19" s="27" t="str">
        <f t="shared" si="3"/>
        <v/>
      </c>
      <c r="L19" s="29" t="str">
        <f t="shared" si="4"/>
        <v/>
      </c>
      <c r="M19" s="29" t="str">
        <f t="shared" si="5"/>
        <v/>
      </c>
      <c r="N19" s="29" t="str">
        <f t="shared" si="6"/>
        <v/>
      </c>
      <c r="O19" s="27" t="str">
        <f t="shared" si="7"/>
        <v/>
      </c>
      <c r="P19" s="28" t="str">
        <f t="shared" si="8"/>
        <v/>
      </c>
      <c r="Q19" s="27" t="str">
        <f t="shared" si="9"/>
        <v/>
      </c>
      <c r="R19" s="28" t="str">
        <f t="shared" si="10"/>
        <v/>
      </c>
      <c r="S19" s="27" t="str">
        <f t="shared" si="11"/>
        <v/>
      </c>
      <c r="T19" s="28" t="str">
        <f t="shared" si="12"/>
        <v/>
      </c>
      <c r="U19" s="29" t="str">
        <f t="shared" si="13"/>
        <v/>
      </c>
      <c r="V19" t="str">
        <f>IFERROR(INDEX(BlendedRatings!$E:$E,MATCH($D19,BlendedRatings!$A:$A,0)),"")</f>
        <v/>
      </c>
      <c r="W19" t="str">
        <f>IFERROR(INDEX(BlendedRatings!$F:$F,MATCH($D19,BlendedRatings!$A:$A,0)),"")</f>
        <v/>
      </c>
      <c r="X19" t="str">
        <f>IFERROR(INDEX(BlendedRatings!$G:$G,MATCH($D19,BlendedRatings!$A:$A,0)),"")</f>
        <v/>
      </c>
      <c r="Y19" t="str">
        <f>IFERROR(INDEX(BlendedRatings!$E:$E,MATCH($C19,BlendedRatings!$A:$A,0)),"")</f>
        <v/>
      </c>
      <c r="Z19" t="str">
        <f>IFERROR(INDEX(BlendedRatings!$F:$F,MATCH($C19,BlendedRatings!$A:$A,0)),"")</f>
        <v/>
      </c>
      <c r="AA19" t="str">
        <f>IFERROR(INDEX(BlendedRatings!$G:$G,MATCH($C19,BlendedRatings!$A:$A,0)),"")</f>
        <v/>
      </c>
      <c r="AB19" t="str">
        <f>IF(AND(ISNUMBER(X19),ISNUMBER(AA19),X19&gt;0,AA19&gt;0,ISNUMBER(Inputs!$F$5)),0.85*(2/(1/X19+1/AA19))+0.15*Inputs!$F$5+INDEX(GameInputs!$K:$K,$A19+1)+INDEX(GameInputs!$L:$L,$A19+1),"")</f>
        <v/>
      </c>
      <c r="AC19" t="str">
        <f>IF(AND(ISNUMBER(V19),ISNUMBER(Z19),ISNUMBER(Inputs!$F$3),ISNUMBER(Inputs!$F$4)),Inputs!$F$3+0.55*(V19-Inputs!$F$3)+0.45*(Z19-Inputs!$F$4)+IF(OR($E19="H",$E19="Home",$E19="home"),Inputs!$F$6,IF(OR($E19="A",$E19="Away",$E19="away"),-Inputs!$F$6,0))+Inputs!$F$7*(INDEX(GameInputs!$G:$G,$A19+1)-INDEX(GameInputs!$H:$H,$A19+1))+INDEX(GameInputs!$I:$I,$A19+1),"")</f>
        <v/>
      </c>
      <c r="AD19" t="str">
        <f>IF(AND(ISNUMBER(Y19),ISNUMBER(W19),ISNUMBER(Inputs!$F$3),ISNUMBER(Inputs!$F$4)),Inputs!$F$3+0.55*(Y19-Inputs!$F$3)+0.45*(W19-Inputs!$F$4)-IF(OR($E19="H",$E19="Home",$E19="home"),Inputs!$F$6,IF(OR($E19="A",$E19="Away",$E19="away"),-Inputs!$F$6,0))+Inputs!$F$7*(INDEX(GameInputs!$H:$H,$A19+1)-INDEX(GameInputs!$G:$G,$A19+1))+INDEX(GameInputs!$J:$J,$A19+1),"")</f>
        <v/>
      </c>
      <c r="AE19" t="str">
        <f>IF(ISNUMBER(AB19),Inputs!$F$8+Inputs!$F$9*ABS(INDEX(GameInputs!$G:$G,$A19+1)-INDEX(GameInputs!$H:$H,$A19+1)),"")</f>
        <v/>
      </c>
      <c r="AF19" t="str">
        <f>IF(ISNUMBER(AB19),Inputs!$F$10+Inputs!$F$11*ABS(AB19-Inputs!$F$5),"")</f>
        <v/>
      </c>
    </row>
    <row r="20" spans="1:32" x14ac:dyDescent="0.2">
      <c r="A20" s="21">
        <v>19</v>
      </c>
      <c r="B20" s="21">
        <f>INDEX(GameInputs!$A:$A,$A20+1)</f>
        <v>0</v>
      </c>
      <c r="C20" s="21">
        <f>INDEX(GameInputs!$C:$C,$A20+1)</f>
        <v>0</v>
      </c>
      <c r="D20" s="21">
        <f>INDEX(GameInputs!$B:$B,$A20+1)</f>
        <v>0</v>
      </c>
      <c r="E20" s="21">
        <f>INDEX(GameInputs!$D:$D,$A20+1)</f>
        <v>0</v>
      </c>
      <c r="F20" s="27">
        <f>INDEX(GameInputs!$E:$E,$A20+1)</f>
        <v>0</v>
      </c>
      <c r="G20" s="27" t="str">
        <f t="shared" si="0"/>
        <v/>
      </c>
      <c r="H20" s="27" t="str">
        <f t="shared" si="1"/>
        <v/>
      </c>
      <c r="I20" s="27">
        <f>INDEX(GameInputs!$F:$F,$A20+1)</f>
        <v>0</v>
      </c>
      <c r="J20" s="27" t="str">
        <f t="shared" si="2"/>
        <v/>
      </c>
      <c r="K20" s="27" t="str">
        <f t="shared" si="3"/>
        <v/>
      </c>
      <c r="L20" s="29" t="str">
        <f t="shared" si="4"/>
        <v/>
      </c>
      <c r="M20" s="29" t="str">
        <f t="shared" si="5"/>
        <v/>
      </c>
      <c r="N20" s="29" t="str">
        <f t="shared" si="6"/>
        <v/>
      </c>
      <c r="O20" s="27" t="str">
        <f t="shared" si="7"/>
        <v/>
      </c>
      <c r="P20" s="28" t="str">
        <f t="shared" si="8"/>
        <v/>
      </c>
      <c r="Q20" s="27" t="str">
        <f t="shared" si="9"/>
        <v/>
      </c>
      <c r="R20" s="28" t="str">
        <f t="shared" si="10"/>
        <v/>
      </c>
      <c r="S20" s="27" t="str">
        <f t="shared" si="11"/>
        <v/>
      </c>
      <c r="T20" s="28" t="str">
        <f t="shared" si="12"/>
        <v/>
      </c>
      <c r="U20" s="29" t="str">
        <f t="shared" si="13"/>
        <v/>
      </c>
      <c r="V20" t="str">
        <f>IFERROR(INDEX(BlendedRatings!$E:$E,MATCH($D20,BlendedRatings!$A:$A,0)),"")</f>
        <v/>
      </c>
      <c r="W20" t="str">
        <f>IFERROR(INDEX(BlendedRatings!$F:$F,MATCH($D20,BlendedRatings!$A:$A,0)),"")</f>
        <v/>
      </c>
      <c r="X20" t="str">
        <f>IFERROR(INDEX(BlendedRatings!$G:$G,MATCH($D20,BlendedRatings!$A:$A,0)),"")</f>
        <v/>
      </c>
      <c r="Y20" t="str">
        <f>IFERROR(INDEX(BlendedRatings!$E:$E,MATCH($C20,BlendedRatings!$A:$A,0)),"")</f>
        <v/>
      </c>
      <c r="Z20" t="str">
        <f>IFERROR(INDEX(BlendedRatings!$F:$F,MATCH($C20,BlendedRatings!$A:$A,0)),"")</f>
        <v/>
      </c>
      <c r="AA20" t="str">
        <f>IFERROR(INDEX(BlendedRatings!$G:$G,MATCH($C20,BlendedRatings!$A:$A,0)),"")</f>
        <v/>
      </c>
      <c r="AB20" t="str">
        <f>IF(AND(ISNUMBER(X20),ISNUMBER(AA20),X20&gt;0,AA20&gt;0,ISNUMBER(Inputs!$F$5)),0.85*(2/(1/X20+1/AA20))+0.15*Inputs!$F$5+INDEX(GameInputs!$K:$K,$A20+1)+INDEX(GameInputs!$L:$L,$A20+1),"")</f>
        <v/>
      </c>
      <c r="AC20" t="str">
        <f>IF(AND(ISNUMBER(V20),ISNUMBER(Z20),ISNUMBER(Inputs!$F$3),ISNUMBER(Inputs!$F$4)),Inputs!$F$3+0.55*(V20-Inputs!$F$3)+0.45*(Z20-Inputs!$F$4)+IF(OR($E20="H",$E20="Home",$E20="home"),Inputs!$F$6,IF(OR($E20="A",$E20="Away",$E20="away"),-Inputs!$F$6,0))+Inputs!$F$7*(INDEX(GameInputs!$G:$G,$A20+1)-INDEX(GameInputs!$H:$H,$A20+1))+INDEX(GameInputs!$I:$I,$A20+1),"")</f>
        <v/>
      </c>
      <c r="AD20" t="str">
        <f>IF(AND(ISNUMBER(Y20),ISNUMBER(W20),ISNUMBER(Inputs!$F$3),ISNUMBER(Inputs!$F$4)),Inputs!$F$3+0.55*(Y20-Inputs!$F$3)+0.45*(W20-Inputs!$F$4)-IF(OR($E20="H",$E20="Home",$E20="home"),Inputs!$F$6,IF(OR($E20="A",$E20="Away",$E20="away"),-Inputs!$F$6,0))+Inputs!$F$7*(INDEX(GameInputs!$H:$H,$A20+1)-INDEX(GameInputs!$G:$G,$A20+1))+INDEX(GameInputs!$J:$J,$A20+1),"")</f>
        <v/>
      </c>
      <c r="AE20" t="str">
        <f>IF(ISNUMBER(AB20),Inputs!$F$8+Inputs!$F$9*ABS(INDEX(GameInputs!$G:$G,$A20+1)-INDEX(GameInputs!$H:$H,$A20+1)),"")</f>
        <v/>
      </c>
      <c r="AF20" t="str">
        <f>IF(ISNUMBER(AB20),Inputs!$F$10+Inputs!$F$11*ABS(AB20-Inputs!$F$5),"")</f>
        <v/>
      </c>
    </row>
    <row r="21" spans="1:32" x14ac:dyDescent="0.2">
      <c r="A21" s="21">
        <v>20</v>
      </c>
      <c r="B21" s="21">
        <f>INDEX(GameInputs!$A:$A,$A21+1)</f>
        <v>0</v>
      </c>
      <c r="C21" s="21">
        <f>INDEX(GameInputs!$C:$C,$A21+1)</f>
        <v>0</v>
      </c>
      <c r="D21" s="21">
        <f>INDEX(GameInputs!$B:$B,$A21+1)</f>
        <v>0</v>
      </c>
      <c r="E21" s="21">
        <f>INDEX(GameInputs!$D:$D,$A21+1)</f>
        <v>0</v>
      </c>
      <c r="F21" s="27">
        <f>INDEX(GameInputs!$E:$E,$A21+1)</f>
        <v>0</v>
      </c>
      <c r="G21" s="27" t="str">
        <f t="shared" si="0"/>
        <v/>
      </c>
      <c r="H21" s="27" t="str">
        <f t="shared" si="1"/>
        <v/>
      </c>
      <c r="I21" s="27">
        <f>INDEX(GameInputs!$F:$F,$A21+1)</f>
        <v>0</v>
      </c>
      <c r="J21" s="27" t="str">
        <f t="shared" si="2"/>
        <v/>
      </c>
      <c r="K21" s="27" t="str">
        <f t="shared" si="3"/>
        <v/>
      </c>
      <c r="L21" s="29" t="str">
        <f t="shared" si="4"/>
        <v/>
      </c>
      <c r="M21" s="29" t="str">
        <f t="shared" si="5"/>
        <v/>
      </c>
      <c r="N21" s="29" t="str">
        <f t="shared" si="6"/>
        <v/>
      </c>
      <c r="O21" s="27" t="str">
        <f t="shared" si="7"/>
        <v/>
      </c>
      <c r="P21" s="28" t="str">
        <f t="shared" si="8"/>
        <v/>
      </c>
      <c r="Q21" s="27" t="str">
        <f t="shared" si="9"/>
        <v/>
      </c>
      <c r="R21" s="28" t="str">
        <f t="shared" si="10"/>
        <v/>
      </c>
      <c r="S21" s="27" t="str">
        <f t="shared" si="11"/>
        <v/>
      </c>
      <c r="T21" s="28" t="str">
        <f t="shared" si="12"/>
        <v/>
      </c>
      <c r="U21" s="29" t="str">
        <f t="shared" si="13"/>
        <v/>
      </c>
      <c r="V21" t="str">
        <f>IFERROR(INDEX(BlendedRatings!$E:$E,MATCH($D21,BlendedRatings!$A:$A,0)),"")</f>
        <v/>
      </c>
      <c r="W21" t="str">
        <f>IFERROR(INDEX(BlendedRatings!$F:$F,MATCH($D21,BlendedRatings!$A:$A,0)),"")</f>
        <v/>
      </c>
      <c r="X21" t="str">
        <f>IFERROR(INDEX(BlendedRatings!$G:$G,MATCH($D21,BlendedRatings!$A:$A,0)),"")</f>
        <v/>
      </c>
      <c r="Y21" t="str">
        <f>IFERROR(INDEX(BlendedRatings!$E:$E,MATCH($C21,BlendedRatings!$A:$A,0)),"")</f>
        <v/>
      </c>
      <c r="Z21" t="str">
        <f>IFERROR(INDEX(BlendedRatings!$F:$F,MATCH($C21,BlendedRatings!$A:$A,0)),"")</f>
        <v/>
      </c>
      <c r="AA21" t="str">
        <f>IFERROR(INDEX(BlendedRatings!$G:$G,MATCH($C21,BlendedRatings!$A:$A,0)),"")</f>
        <v/>
      </c>
      <c r="AB21" t="str">
        <f>IF(AND(ISNUMBER(X21),ISNUMBER(AA21),X21&gt;0,AA21&gt;0,ISNUMBER(Inputs!$F$5)),0.85*(2/(1/X21+1/AA21))+0.15*Inputs!$F$5+INDEX(GameInputs!$K:$K,$A21+1)+INDEX(GameInputs!$L:$L,$A21+1),"")</f>
        <v/>
      </c>
      <c r="AC21" t="str">
        <f>IF(AND(ISNUMBER(V21),ISNUMBER(Z21),ISNUMBER(Inputs!$F$3),ISNUMBER(Inputs!$F$4)),Inputs!$F$3+0.55*(V21-Inputs!$F$3)+0.45*(Z21-Inputs!$F$4)+IF(OR($E21="H",$E21="Home",$E21="home"),Inputs!$F$6,IF(OR($E21="A",$E21="Away",$E21="away"),-Inputs!$F$6,0))+Inputs!$F$7*(INDEX(GameInputs!$G:$G,$A21+1)-INDEX(GameInputs!$H:$H,$A21+1))+INDEX(GameInputs!$I:$I,$A21+1),"")</f>
        <v/>
      </c>
      <c r="AD21" t="str">
        <f>IF(AND(ISNUMBER(Y21),ISNUMBER(W21),ISNUMBER(Inputs!$F$3),ISNUMBER(Inputs!$F$4)),Inputs!$F$3+0.55*(Y21-Inputs!$F$3)+0.45*(W21-Inputs!$F$4)-IF(OR($E21="H",$E21="Home",$E21="home"),Inputs!$F$6,IF(OR($E21="A",$E21="Away",$E21="away"),-Inputs!$F$6,0))+Inputs!$F$7*(INDEX(GameInputs!$H:$H,$A21+1)-INDEX(GameInputs!$G:$G,$A21+1))+INDEX(GameInputs!$J:$J,$A21+1),"")</f>
        <v/>
      </c>
      <c r="AE21" t="str">
        <f>IF(ISNUMBER(AB21),Inputs!$F$8+Inputs!$F$9*ABS(INDEX(GameInputs!$G:$G,$A21+1)-INDEX(GameInputs!$H:$H,$A21+1)),"")</f>
        <v/>
      </c>
      <c r="AF21" t="str">
        <f>IF(ISNUMBER(AB21),Inputs!$F$10+Inputs!$F$11*ABS(AB21-Inputs!$F$5),"")</f>
        <v/>
      </c>
    </row>
    <row r="22" spans="1:32" x14ac:dyDescent="0.2">
      <c r="A22" s="21">
        <v>21</v>
      </c>
      <c r="B22" s="21">
        <f>INDEX(GameInputs!$A:$A,$A22+1)</f>
        <v>0</v>
      </c>
      <c r="C22" s="21">
        <f>INDEX(GameInputs!$C:$C,$A22+1)</f>
        <v>0</v>
      </c>
      <c r="D22" s="21">
        <f>INDEX(GameInputs!$B:$B,$A22+1)</f>
        <v>0</v>
      </c>
      <c r="E22" s="21">
        <f>INDEX(GameInputs!$D:$D,$A22+1)</f>
        <v>0</v>
      </c>
      <c r="F22" s="27">
        <f>INDEX(GameInputs!$E:$E,$A22+1)</f>
        <v>0</v>
      </c>
      <c r="G22" s="27" t="str">
        <f t="shared" si="0"/>
        <v/>
      </c>
      <c r="H22" s="27" t="str">
        <f t="shared" si="1"/>
        <v/>
      </c>
      <c r="I22" s="27">
        <f>INDEX(GameInputs!$F:$F,$A22+1)</f>
        <v>0</v>
      </c>
      <c r="J22" s="27" t="str">
        <f t="shared" si="2"/>
        <v/>
      </c>
      <c r="K22" s="27" t="str">
        <f t="shared" si="3"/>
        <v/>
      </c>
      <c r="L22" s="29" t="str">
        <f t="shared" si="4"/>
        <v/>
      </c>
      <c r="M22" s="29" t="str">
        <f t="shared" si="5"/>
        <v/>
      </c>
      <c r="N22" s="29" t="str">
        <f t="shared" si="6"/>
        <v/>
      </c>
      <c r="O22" s="27" t="str">
        <f t="shared" si="7"/>
        <v/>
      </c>
      <c r="P22" s="28" t="str">
        <f t="shared" si="8"/>
        <v/>
      </c>
      <c r="Q22" s="27" t="str">
        <f t="shared" si="9"/>
        <v/>
      </c>
      <c r="R22" s="28" t="str">
        <f t="shared" si="10"/>
        <v/>
      </c>
      <c r="S22" s="27" t="str">
        <f t="shared" si="11"/>
        <v/>
      </c>
      <c r="T22" s="28" t="str">
        <f t="shared" si="12"/>
        <v/>
      </c>
      <c r="U22" s="29" t="str">
        <f t="shared" si="13"/>
        <v/>
      </c>
      <c r="V22" t="str">
        <f>IFERROR(INDEX(BlendedRatings!$E:$E,MATCH($D22,BlendedRatings!$A:$A,0)),"")</f>
        <v/>
      </c>
      <c r="W22" t="str">
        <f>IFERROR(INDEX(BlendedRatings!$F:$F,MATCH($D22,BlendedRatings!$A:$A,0)),"")</f>
        <v/>
      </c>
      <c r="X22" t="str">
        <f>IFERROR(INDEX(BlendedRatings!$G:$G,MATCH($D22,BlendedRatings!$A:$A,0)),"")</f>
        <v/>
      </c>
      <c r="Y22" t="str">
        <f>IFERROR(INDEX(BlendedRatings!$E:$E,MATCH($C22,BlendedRatings!$A:$A,0)),"")</f>
        <v/>
      </c>
      <c r="Z22" t="str">
        <f>IFERROR(INDEX(BlendedRatings!$F:$F,MATCH($C22,BlendedRatings!$A:$A,0)),"")</f>
        <v/>
      </c>
      <c r="AA22" t="str">
        <f>IFERROR(INDEX(BlendedRatings!$G:$G,MATCH($C22,BlendedRatings!$A:$A,0)),"")</f>
        <v/>
      </c>
      <c r="AB22" t="str">
        <f>IF(AND(ISNUMBER(X22),ISNUMBER(AA22),X22&gt;0,AA22&gt;0,ISNUMBER(Inputs!$F$5)),0.85*(2/(1/X22+1/AA22))+0.15*Inputs!$F$5+INDEX(GameInputs!$K:$K,$A22+1)+INDEX(GameInputs!$L:$L,$A22+1),"")</f>
        <v/>
      </c>
      <c r="AC22" t="str">
        <f>IF(AND(ISNUMBER(V22),ISNUMBER(Z22),ISNUMBER(Inputs!$F$3),ISNUMBER(Inputs!$F$4)),Inputs!$F$3+0.55*(V22-Inputs!$F$3)+0.45*(Z22-Inputs!$F$4)+IF(OR($E22="H",$E22="Home",$E22="home"),Inputs!$F$6,IF(OR($E22="A",$E22="Away",$E22="away"),-Inputs!$F$6,0))+Inputs!$F$7*(INDEX(GameInputs!$G:$G,$A22+1)-INDEX(GameInputs!$H:$H,$A22+1))+INDEX(GameInputs!$I:$I,$A22+1),"")</f>
        <v/>
      </c>
      <c r="AD22" t="str">
        <f>IF(AND(ISNUMBER(Y22),ISNUMBER(W22),ISNUMBER(Inputs!$F$3),ISNUMBER(Inputs!$F$4)),Inputs!$F$3+0.55*(Y22-Inputs!$F$3)+0.45*(W22-Inputs!$F$4)-IF(OR($E22="H",$E22="Home",$E22="home"),Inputs!$F$6,IF(OR($E22="A",$E22="Away",$E22="away"),-Inputs!$F$6,0))+Inputs!$F$7*(INDEX(GameInputs!$H:$H,$A22+1)-INDEX(GameInputs!$G:$G,$A22+1))+INDEX(GameInputs!$J:$J,$A22+1),"")</f>
        <v/>
      </c>
      <c r="AE22" t="str">
        <f>IF(ISNUMBER(AB22),Inputs!$F$8+Inputs!$F$9*ABS(INDEX(GameInputs!$G:$G,$A22+1)-INDEX(GameInputs!$H:$H,$A22+1)),"")</f>
        <v/>
      </c>
      <c r="AF22" t="str">
        <f>IF(ISNUMBER(AB22),Inputs!$F$10+Inputs!$F$11*ABS(AB22-Inputs!$F$5),"")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105"/>
  <sheetViews>
    <sheetView tabSelected="1" workbookViewId="0">
      <selection sqref="A1:XFD1048576"/>
    </sheetView>
  </sheetViews>
  <sheetFormatPr baseColWidth="10" defaultRowHeight="15" x14ac:dyDescent="0.2"/>
  <cols>
    <col min="1" max="1" width="48" bestFit="1" customWidth="1"/>
    <col min="2" max="2" width="22.6640625" bestFit="1" customWidth="1"/>
    <col min="5" max="5" width="22.6640625" bestFit="1" customWidth="1"/>
  </cols>
  <sheetData>
    <row r="1" spans="1:9" x14ac:dyDescent="0.2">
      <c r="A1" t="s">
        <v>843</v>
      </c>
      <c r="B1" t="s">
        <v>844</v>
      </c>
      <c r="C1" t="s">
        <v>845</v>
      </c>
      <c r="D1" t="s">
        <v>846</v>
      </c>
      <c r="E1" t="s">
        <v>847</v>
      </c>
      <c r="F1" t="s">
        <v>848</v>
      </c>
      <c r="G1" t="s">
        <v>849</v>
      </c>
      <c r="H1" t="s">
        <v>850</v>
      </c>
      <c r="I1" t="s">
        <v>851</v>
      </c>
    </row>
    <row r="2" spans="1:9" x14ac:dyDescent="0.2">
      <c r="A2" t="s">
        <v>2189</v>
      </c>
      <c r="B2" t="s">
        <v>2190</v>
      </c>
      <c r="C2" t="s">
        <v>857</v>
      </c>
      <c r="D2" t="s">
        <v>854</v>
      </c>
      <c r="E2" t="s">
        <v>2213</v>
      </c>
      <c r="F2" t="s">
        <v>2197</v>
      </c>
      <c r="G2" t="s">
        <v>2198</v>
      </c>
      <c r="H2">
        <v>-110</v>
      </c>
      <c r="I2">
        <v>-110</v>
      </c>
    </row>
    <row r="3" spans="1:9" x14ac:dyDescent="0.2">
      <c r="A3" t="s">
        <v>2189</v>
      </c>
      <c r="B3" t="s">
        <v>2190</v>
      </c>
      <c r="C3" t="s">
        <v>857</v>
      </c>
      <c r="D3" t="s">
        <v>858</v>
      </c>
      <c r="E3" t="s">
        <v>2214</v>
      </c>
      <c r="F3" t="s">
        <v>2197</v>
      </c>
      <c r="G3" t="s">
        <v>2198</v>
      </c>
      <c r="H3">
        <v>-110</v>
      </c>
      <c r="I3">
        <v>-110</v>
      </c>
    </row>
    <row r="4" spans="1:9" x14ac:dyDescent="0.2">
      <c r="A4" t="s">
        <v>2189</v>
      </c>
      <c r="B4" t="s">
        <v>2190</v>
      </c>
      <c r="C4" t="s">
        <v>857</v>
      </c>
      <c r="D4" t="s">
        <v>859</v>
      </c>
      <c r="E4" t="s">
        <v>2215</v>
      </c>
      <c r="F4" t="s">
        <v>2197</v>
      </c>
      <c r="G4" t="s">
        <v>2198</v>
      </c>
      <c r="H4">
        <v>-108</v>
      </c>
      <c r="I4">
        <v>-108</v>
      </c>
    </row>
    <row r="5" spans="1:9" x14ac:dyDescent="0.2">
      <c r="A5" t="s">
        <v>2189</v>
      </c>
      <c r="B5" t="s">
        <v>2190</v>
      </c>
      <c r="C5" t="s">
        <v>857</v>
      </c>
      <c r="D5" t="s">
        <v>853</v>
      </c>
      <c r="E5" t="s">
        <v>2216</v>
      </c>
      <c r="F5" t="s">
        <v>2197</v>
      </c>
      <c r="G5" t="s">
        <v>2198</v>
      </c>
      <c r="H5">
        <v>-110</v>
      </c>
      <c r="I5">
        <v>-110</v>
      </c>
    </row>
    <row r="6" spans="1:9" x14ac:dyDescent="0.2">
      <c r="A6" t="s">
        <v>2189</v>
      </c>
      <c r="B6" t="s">
        <v>2190</v>
      </c>
      <c r="C6" t="s">
        <v>857</v>
      </c>
      <c r="D6" t="s">
        <v>852</v>
      </c>
      <c r="E6" t="s">
        <v>2230</v>
      </c>
      <c r="F6" t="s">
        <v>2197</v>
      </c>
      <c r="G6" t="s">
        <v>2198</v>
      </c>
      <c r="H6">
        <v>-110</v>
      </c>
      <c r="I6">
        <v>-110</v>
      </c>
    </row>
    <row r="7" spans="1:9" x14ac:dyDescent="0.2">
      <c r="A7" t="s">
        <v>2189</v>
      </c>
      <c r="B7" t="s">
        <v>2190</v>
      </c>
      <c r="C7" t="s">
        <v>857</v>
      </c>
      <c r="D7" t="s">
        <v>860</v>
      </c>
      <c r="E7" t="s">
        <v>2218</v>
      </c>
      <c r="F7" t="s">
        <v>2197</v>
      </c>
      <c r="G7" t="s">
        <v>2198</v>
      </c>
      <c r="H7">
        <v>-110</v>
      </c>
      <c r="I7">
        <v>-110</v>
      </c>
    </row>
    <row r="8" spans="1:9" x14ac:dyDescent="0.2">
      <c r="A8" t="s">
        <v>2191</v>
      </c>
      <c r="B8" t="s">
        <v>2192</v>
      </c>
      <c r="C8" t="s">
        <v>857</v>
      </c>
      <c r="D8" t="s">
        <v>854</v>
      </c>
      <c r="E8" t="s">
        <v>2213</v>
      </c>
      <c r="F8" t="s">
        <v>2197</v>
      </c>
      <c r="G8" t="s">
        <v>2198</v>
      </c>
      <c r="H8">
        <v>-105</v>
      </c>
      <c r="I8">
        <v>-115</v>
      </c>
    </row>
    <row r="9" spans="1:9" x14ac:dyDescent="0.2">
      <c r="A9" t="s">
        <v>2191</v>
      </c>
      <c r="B9" t="s">
        <v>2192</v>
      </c>
      <c r="C9" t="s">
        <v>857</v>
      </c>
      <c r="D9" t="s">
        <v>859</v>
      </c>
      <c r="E9" t="s">
        <v>2215</v>
      </c>
      <c r="F9" t="s">
        <v>2231</v>
      </c>
      <c r="G9" t="s">
        <v>2232</v>
      </c>
      <c r="H9">
        <v>-110</v>
      </c>
      <c r="I9">
        <v>-106</v>
      </c>
    </row>
    <row r="10" spans="1:9" x14ac:dyDescent="0.2">
      <c r="A10" t="s">
        <v>2191</v>
      </c>
      <c r="B10" t="s">
        <v>2192</v>
      </c>
      <c r="C10" t="s">
        <v>857</v>
      </c>
      <c r="D10" t="s">
        <v>858</v>
      </c>
      <c r="E10" t="s">
        <v>2214</v>
      </c>
      <c r="F10" t="s">
        <v>2231</v>
      </c>
      <c r="G10" t="s">
        <v>2232</v>
      </c>
      <c r="H10">
        <v>-112</v>
      </c>
      <c r="I10">
        <v>-108</v>
      </c>
    </row>
    <row r="11" spans="1:9" x14ac:dyDescent="0.2">
      <c r="A11" t="s">
        <v>2191</v>
      </c>
      <c r="B11" t="s">
        <v>2192</v>
      </c>
      <c r="C11" t="s">
        <v>857</v>
      </c>
      <c r="D11" t="s">
        <v>853</v>
      </c>
      <c r="E11" t="s">
        <v>2216</v>
      </c>
      <c r="F11" t="s">
        <v>2197</v>
      </c>
      <c r="G11" t="s">
        <v>2198</v>
      </c>
      <c r="H11">
        <v>-115</v>
      </c>
      <c r="I11">
        <v>-105</v>
      </c>
    </row>
    <row r="12" spans="1:9" x14ac:dyDescent="0.2">
      <c r="A12" t="s">
        <v>2191</v>
      </c>
      <c r="B12" t="s">
        <v>2192</v>
      </c>
      <c r="C12" t="s">
        <v>857</v>
      </c>
      <c r="D12" t="s">
        <v>852</v>
      </c>
      <c r="E12" t="s">
        <v>2230</v>
      </c>
      <c r="F12" t="s">
        <v>2197</v>
      </c>
      <c r="G12" t="s">
        <v>2198</v>
      </c>
      <c r="H12">
        <v>-112</v>
      </c>
      <c r="I12">
        <v>-108</v>
      </c>
    </row>
    <row r="13" spans="1:9" x14ac:dyDescent="0.2">
      <c r="A13" t="s">
        <v>2191</v>
      </c>
      <c r="B13" t="s">
        <v>2192</v>
      </c>
      <c r="C13" t="s">
        <v>857</v>
      </c>
      <c r="D13" t="s">
        <v>860</v>
      </c>
      <c r="E13" t="s">
        <v>2218</v>
      </c>
      <c r="F13" t="s">
        <v>2231</v>
      </c>
      <c r="G13" t="s">
        <v>2232</v>
      </c>
      <c r="H13">
        <v>-110</v>
      </c>
      <c r="I13">
        <v>-110</v>
      </c>
    </row>
    <row r="14" spans="1:9" x14ac:dyDescent="0.2">
      <c r="A14" t="s">
        <v>2193</v>
      </c>
      <c r="B14" t="s">
        <v>2194</v>
      </c>
      <c r="C14" t="s">
        <v>857</v>
      </c>
      <c r="D14" t="s">
        <v>854</v>
      </c>
      <c r="E14" t="s">
        <v>2213</v>
      </c>
      <c r="F14" t="s">
        <v>2187</v>
      </c>
      <c r="G14" t="s">
        <v>2188</v>
      </c>
      <c r="H14">
        <v>-110</v>
      </c>
      <c r="I14">
        <v>-110</v>
      </c>
    </row>
    <row r="15" spans="1:9" x14ac:dyDescent="0.2">
      <c r="A15" t="s">
        <v>2193</v>
      </c>
      <c r="B15" t="s">
        <v>2194</v>
      </c>
      <c r="C15" t="s">
        <v>857</v>
      </c>
      <c r="D15" t="s">
        <v>859</v>
      </c>
      <c r="E15" t="s">
        <v>2215</v>
      </c>
      <c r="F15" t="s">
        <v>2233</v>
      </c>
      <c r="G15" t="s">
        <v>2234</v>
      </c>
      <c r="H15">
        <v>-108</v>
      </c>
      <c r="I15">
        <v>-108</v>
      </c>
    </row>
    <row r="16" spans="1:9" x14ac:dyDescent="0.2">
      <c r="A16" t="s">
        <v>2193</v>
      </c>
      <c r="B16" t="s">
        <v>2194</v>
      </c>
      <c r="C16" t="s">
        <v>857</v>
      </c>
      <c r="D16" t="s">
        <v>858</v>
      </c>
      <c r="E16" t="s">
        <v>2214</v>
      </c>
      <c r="F16" t="s">
        <v>2233</v>
      </c>
      <c r="G16" t="s">
        <v>2234</v>
      </c>
      <c r="H16">
        <v>-110</v>
      </c>
      <c r="I16">
        <v>-110</v>
      </c>
    </row>
    <row r="17" spans="1:9" x14ac:dyDescent="0.2">
      <c r="A17" t="s">
        <v>2193</v>
      </c>
      <c r="B17" t="s">
        <v>2194</v>
      </c>
      <c r="C17" t="s">
        <v>857</v>
      </c>
      <c r="D17" t="s">
        <v>853</v>
      </c>
      <c r="E17" t="s">
        <v>2216</v>
      </c>
      <c r="F17" t="s">
        <v>2155</v>
      </c>
      <c r="G17" t="s">
        <v>2156</v>
      </c>
      <c r="H17">
        <v>-105</v>
      </c>
      <c r="I17">
        <v>-115</v>
      </c>
    </row>
    <row r="18" spans="1:9" x14ac:dyDescent="0.2">
      <c r="A18" t="s">
        <v>2193</v>
      </c>
      <c r="B18" t="s">
        <v>2194</v>
      </c>
      <c r="C18" t="s">
        <v>857</v>
      </c>
      <c r="D18" t="s">
        <v>860</v>
      </c>
      <c r="E18" t="s">
        <v>2218</v>
      </c>
      <c r="F18" t="s">
        <v>2233</v>
      </c>
      <c r="G18" t="s">
        <v>2234</v>
      </c>
      <c r="H18">
        <v>-110</v>
      </c>
      <c r="I18">
        <v>-110</v>
      </c>
    </row>
    <row r="19" spans="1:9" x14ac:dyDescent="0.2">
      <c r="A19" t="s">
        <v>2193</v>
      </c>
      <c r="B19" t="s">
        <v>2194</v>
      </c>
      <c r="C19" t="s">
        <v>857</v>
      </c>
      <c r="D19" t="s">
        <v>852</v>
      </c>
      <c r="E19" t="s">
        <v>2230</v>
      </c>
      <c r="F19" t="s">
        <v>2155</v>
      </c>
      <c r="G19" t="s">
        <v>2156</v>
      </c>
      <c r="H19">
        <v>-105</v>
      </c>
      <c r="I19">
        <v>-115</v>
      </c>
    </row>
    <row r="20" spans="1:9" x14ac:dyDescent="0.2">
      <c r="A20" t="s">
        <v>2195</v>
      </c>
      <c r="B20" t="s">
        <v>2196</v>
      </c>
      <c r="C20" t="s">
        <v>857</v>
      </c>
      <c r="D20" t="s">
        <v>854</v>
      </c>
      <c r="E20" t="s">
        <v>2213</v>
      </c>
      <c r="F20" t="s">
        <v>2235</v>
      </c>
      <c r="G20" t="s">
        <v>2236</v>
      </c>
      <c r="H20">
        <v>-115</v>
      </c>
      <c r="I20">
        <v>-105</v>
      </c>
    </row>
    <row r="21" spans="1:9" x14ac:dyDescent="0.2">
      <c r="A21" t="s">
        <v>2195</v>
      </c>
      <c r="B21" t="s">
        <v>2196</v>
      </c>
      <c r="C21" t="s">
        <v>857</v>
      </c>
      <c r="D21" t="s">
        <v>859</v>
      </c>
      <c r="E21" t="s">
        <v>2215</v>
      </c>
      <c r="F21" t="s">
        <v>2237</v>
      </c>
      <c r="G21" t="s">
        <v>2238</v>
      </c>
      <c r="H21">
        <v>-113</v>
      </c>
      <c r="I21">
        <v>-103</v>
      </c>
    </row>
    <row r="22" spans="1:9" x14ac:dyDescent="0.2">
      <c r="A22" t="s">
        <v>2195</v>
      </c>
      <c r="B22" t="s">
        <v>2196</v>
      </c>
      <c r="C22" t="s">
        <v>857</v>
      </c>
      <c r="D22" t="s">
        <v>858</v>
      </c>
      <c r="E22" t="s">
        <v>2214</v>
      </c>
      <c r="F22" t="s">
        <v>2237</v>
      </c>
      <c r="G22" t="s">
        <v>2238</v>
      </c>
      <c r="H22">
        <v>-115</v>
      </c>
      <c r="I22">
        <v>-105</v>
      </c>
    </row>
    <row r="23" spans="1:9" x14ac:dyDescent="0.2">
      <c r="A23" t="s">
        <v>2195</v>
      </c>
      <c r="B23" t="s">
        <v>2196</v>
      </c>
      <c r="C23" t="s">
        <v>857</v>
      </c>
      <c r="D23" t="s">
        <v>853</v>
      </c>
      <c r="E23" t="s">
        <v>2216</v>
      </c>
      <c r="F23" t="s">
        <v>2237</v>
      </c>
      <c r="G23" t="s">
        <v>2238</v>
      </c>
      <c r="H23">
        <v>-110</v>
      </c>
      <c r="I23">
        <v>-110</v>
      </c>
    </row>
    <row r="24" spans="1:9" x14ac:dyDescent="0.2">
      <c r="A24" t="s">
        <v>2195</v>
      </c>
      <c r="B24" t="s">
        <v>2196</v>
      </c>
      <c r="C24" t="s">
        <v>857</v>
      </c>
      <c r="D24" t="s">
        <v>860</v>
      </c>
      <c r="E24" t="s">
        <v>2218</v>
      </c>
      <c r="F24" t="s">
        <v>2237</v>
      </c>
      <c r="G24" t="s">
        <v>2238</v>
      </c>
      <c r="H24">
        <v>-115</v>
      </c>
      <c r="I24">
        <v>-105</v>
      </c>
    </row>
    <row r="25" spans="1:9" x14ac:dyDescent="0.2">
      <c r="A25" t="s">
        <v>2195</v>
      </c>
      <c r="B25" t="s">
        <v>2196</v>
      </c>
      <c r="C25" t="s">
        <v>857</v>
      </c>
      <c r="D25" t="s">
        <v>852</v>
      </c>
      <c r="E25" t="s">
        <v>2230</v>
      </c>
      <c r="F25" t="s">
        <v>2237</v>
      </c>
      <c r="G25" t="s">
        <v>2238</v>
      </c>
      <c r="H25">
        <v>-110</v>
      </c>
      <c r="I25">
        <v>-110</v>
      </c>
    </row>
    <row r="26" spans="1:9" x14ac:dyDescent="0.2">
      <c r="A26" t="s">
        <v>2160</v>
      </c>
      <c r="B26" t="s">
        <v>2161</v>
      </c>
      <c r="C26" t="s">
        <v>857</v>
      </c>
      <c r="D26" t="s">
        <v>854</v>
      </c>
      <c r="E26" t="s">
        <v>2213</v>
      </c>
      <c r="F26" t="s">
        <v>2149</v>
      </c>
      <c r="G26" t="s">
        <v>2150</v>
      </c>
      <c r="H26">
        <v>-115</v>
      </c>
      <c r="I26">
        <v>-105</v>
      </c>
    </row>
    <row r="27" spans="1:9" x14ac:dyDescent="0.2">
      <c r="A27" t="s">
        <v>2160</v>
      </c>
      <c r="B27" t="s">
        <v>2161</v>
      </c>
      <c r="C27" t="s">
        <v>857</v>
      </c>
      <c r="D27" t="s">
        <v>852</v>
      </c>
      <c r="E27" t="s">
        <v>2230</v>
      </c>
      <c r="F27" t="s">
        <v>2149</v>
      </c>
      <c r="G27" t="s">
        <v>2150</v>
      </c>
      <c r="H27">
        <v>-115</v>
      </c>
      <c r="I27">
        <v>-105</v>
      </c>
    </row>
    <row r="28" spans="1:9" x14ac:dyDescent="0.2">
      <c r="A28" t="s">
        <v>2160</v>
      </c>
      <c r="B28" t="s">
        <v>2161</v>
      </c>
      <c r="C28" t="s">
        <v>857</v>
      </c>
      <c r="D28" t="s">
        <v>858</v>
      </c>
      <c r="E28" t="s">
        <v>2214</v>
      </c>
      <c r="F28" t="s">
        <v>2162</v>
      </c>
      <c r="G28" t="s">
        <v>2163</v>
      </c>
      <c r="H28">
        <v>-105</v>
      </c>
      <c r="I28">
        <v>-115</v>
      </c>
    </row>
    <row r="29" spans="1:9" x14ac:dyDescent="0.2">
      <c r="A29" t="s">
        <v>2160</v>
      </c>
      <c r="B29" t="s">
        <v>2161</v>
      </c>
      <c r="C29" t="s">
        <v>857</v>
      </c>
      <c r="D29" t="s">
        <v>859</v>
      </c>
      <c r="E29" t="s">
        <v>2215</v>
      </c>
      <c r="F29" t="s">
        <v>2162</v>
      </c>
      <c r="G29" t="s">
        <v>2163</v>
      </c>
      <c r="H29">
        <v>-103</v>
      </c>
      <c r="I29">
        <v>-113</v>
      </c>
    </row>
    <row r="30" spans="1:9" x14ac:dyDescent="0.2">
      <c r="A30" t="s">
        <v>2160</v>
      </c>
      <c r="B30" t="s">
        <v>2161</v>
      </c>
      <c r="C30" t="s">
        <v>857</v>
      </c>
      <c r="D30" t="s">
        <v>856</v>
      </c>
      <c r="E30" t="s">
        <v>2219</v>
      </c>
      <c r="F30" t="s">
        <v>2149</v>
      </c>
      <c r="G30" t="s">
        <v>2150</v>
      </c>
      <c r="H30">
        <v>-109</v>
      </c>
      <c r="I30">
        <v>-114</v>
      </c>
    </row>
    <row r="31" spans="1:9" x14ac:dyDescent="0.2">
      <c r="A31" t="s">
        <v>2160</v>
      </c>
      <c r="B31" t="s">
        <v>2161</v>
      </c>
      <c r="C31" t="s">
        <v>857</v>
      </c>
      <c r="D31" t="s">
        <v>860</v>
      </c>
      <c r="E31" t="s">
        <v>2218</v>
      </c>
      <c r="F31" t="s">
        <v>2149</v>
      </c>
      <c r="G31" t="s">
        <v>2150</v>
      </c>
      <c r="H31">
        <v>-110</v>
      </c>
      <c r="I31">
        <v>-110</v>
      </c>
    </row>
    <row r="32" spans="1:9" x14ac:dyDescent="0.2">
      <c r="A32" t="s">
        <v>2160</v>
      </c>
      <c r="B32" t="s">
        <v>2161</v>
      </c>
      <c r="C32" t="s">
        <v>857</v>
      </c>
      <c r="D32" t="s">
        <v>2148</v>
      </c>
      <c r="E32" t="s">
        <v>2220</v>
      </c>
      <c r="F32" t="s">
        <v>2149</v>
      </c>
      <c r="G32" t="s">
        <v>2150</v>
      </c>
      <c r="H32">
        <v>-110</v>
      </c>
      <c r="I32">
        <v>-110</v>
      </c>
    </row>
    <row r="33" spans="1:9" x14ac:dyDescent="0.2">
      <c r="A33" t="s">
        <v>2160</v>
      </c>
      <c r="B33" t="s">
        <v>2161</v>
      </c>
      <c r="C33" t="s">
        <v>857</v>
      </c>
      <c r="D33" t="s">
        <v>853</v>
      </c>
      <c r="E33" t="s">
        <v>2216</v>
      </c>
      <c r="F33" t="s">
        <v>2149</v>
      </c>
      <c r="G33" t="s">
        <v>2150</v>
      </c>
      <c r="H33">
        <v>-110</v>
      </c>
      <c r="I33">
        <v>-110</v>
      </c>
    </row>
    <row r="34" spans="1:9" x14ac:dyDescent="0.2">
      <c r="A34" t="s">
        <v>2160</v>
      </c>
      <c r="B34" t="s">
        <v>2161</v>
      </c>
      <c r="C34" t="s">
        <v>857</v>
      </c>
      <c r="D34" t="s">
        <v>855</v>
      </c>
      <c r="E34" t="s">
        <v>2230</v>
      </c>
      <c r="F34" t="s">
        <v>2153</v>
      </c>
      <c r="G34" t="s">
        <v>2154</v>
      </c>
      <c r="H34">
        <v>-105</v>
      </c>
      <c r="I34">
        <v>-115</v>
      </c>
    </row>
    <row r="35" spans="1:9" x14ac:dyDescent="0.2">
      <c r="A35" t="s">
        <v>2164</v>
      </c>
      <c r="B35" t="s">
        <v>2165</v>
      </c>
      <c r="C35" t="s">
        <v>857</v>
      </c>
      <c r="D35" t="s">
        <v>852</v>
      </c>
      <c r="E35" t="s">
        <v>2230</v>
      </c>
      <c r="F35" t="s">
        <v>2199</v>
      </c>
      <c r="G35" t="s">
        <v>2200</v>
      </c>
      <c r="H35">
        <v>-115</v>
      </c>
      <c r="I35">
        <v>-105</v>
      </c>
    </row>
    <row r="36" spans="1:9" x14ac:dyDescent="0.2">
      <c r="A36" t="s">
        <v>2164</v>
      </c>
      <c r="B36" t="s">
        <v>2165</v>
      </c>
      <c r="C36" t="s">
        <v>857</v>
      </c>
      <c r="D36" t="s">
        <v>854</v>
      </c>
      <c r="E36" t="s">
        <v>2213</v>
      </c>
      <c r="F36" t="s">
        <v>2199</v>
      </c>
      <c r="G36" t="s">
        <v>2200</v>
      </c>
      <c r="H36">
        <v>-115</v>
      </c>
      <c r="I36">
        <v>-105</v>
      </c>
    </row>
    <row r="37" spans="1:9" x14ac:dyDescent="0.2">
      <c r="A37" t="s">
        <v>2164</v>
      </c>
      <c r="B37" t="s">
        <v>2165</v>
      </c>
      <c r="C37" t="s">
        <v>857</v>
      </c>
      <c r="D37" t="s">
        <v>2148</v>
      </c>
      <c r="E37" t="s">
        <v>2220</v>
      </c>
      <c r="F37" t="s">
        <v>2239</v>
      </c>
      <c r="G37" t="s">
        <v>2240</v>
      </c>
      <c r="H37">
        <v>-110</v>
      </c>
      <c r="I37">
        <v>-110</v>
      </c>
    </row>
    <row r="38" spans="1:9" x14ac:dyDescent="0.2">
      <c r="A38" t="s">
        <v>2164</v>
      </c>
      <c r="B38" t="s">
        <v>2165</v>
      </c>
      <c r="C38" t="s">
        <v>857</v>
      </c>
      <c r="D38" t="s">
        <v>856</v>
      </c>
      <c r="E38" t="s">
        <v>2219</v>
      </c>
      <c r="F38" t="s">
        <v>2199</v>
      </c>
      <c r="G38" t="s">
        <v>2200</v>
      </c>
      <c r="H38">
        <v>-114</v>
      </c>
      <c r="I38">
        <v>-109</v>
      </c>
    </row>
    <row r="39" spans="1:9" x14ac:dyDescent="0.2">
      <c r="A39" t="s">
        <v>2164</v>
      </c>
      <c r="B39" t="s">
        <v>2165</v>
      </c>
      <c r="C39" t="s">
        <v>857</v>
      </c>
      <c r="D39" t="s">
        <v>858</v>
      </c>
      <c r="E39" t="s">
        <v>2214</v>
      </c>
      <c r="F39" t="s">
        <v>2166</v>
      </c>
      <c r="G39" t="s">
        <v>2167</v>
      </c>
      <c r="H39">
        <v>-110</v>
      </c>
      <c r="I39">
        <v>-110</v>
      </c>
    </row>
    <row r="40" spans="1:9" x14ac:dyDescent="0.2">
      <c r="A40" t="s">
        <v>2164</v>
      </c>
      <c r="B40" t="s">
        <v>2165</v>
      </c>
      <c r="C40" t="s">
        <v>857</v>
      </c>
      <c r="D40" t="s">
        <v>859</v>
      </c>
      <c r="E40" t="s">
        <v>2215</v>
      </c>
      <c r="F40" t="s">
        <v>2166</v>
      </c>
      <c r="G40" t="s">
        <v>2167</v>
      </c>
      <c r="H40">
        <v>-108</v>
      </c>
      <c r="I40">
        <v>-108</v>
      </c>
    </row>
    <row r="41" spans="1:9" x14ac:dyDescent="0.2">
      <c r="A41" t="s">
        <v>2164</v>
      </c>
      <c r="B41" t="s">
        <v>2165</v>
      </c>
      <c r="C41" t="s">
        <v>857</v>
      </c>
      <c r="D41" t="s">
        <v>853</v>
      </c>
      <c r="E41" t="s">
        <v>2216</v>
      </c>
      <c r="F41" t="s">
        <v>2199</v>
      </c>
      <c r="G41" t="s">
        <v>2200</v>
      </c>
      <c r="H41">
        <v>-115</v>
      </c>
      <c r="I41">
        <v>-105</v>
      </c>
    </row>
    <row r="42" spans="1:9" x14ac:dyDescent="0.2">
      <c r="A42" t="s">
        <v>2164</v>
      </c>
      <c r="B42" t="s">
        <v>2165</v>
      </c>
      <c r="C42" t="s">
        <v>857</v>
      </c>
      <c r="D42" t="s">
        <v>855</v>
      </c>
      <c r="E42" t="s">
        <v>2230</v>
      </c>
      <c r="F42" t="s">
        <v>2166</v>
      </c>
      <c r="G42" t="s">
        <v>2167</v>
      </c>
      <c r="H42">
        <v>-110</v>
      </c>
      <c r="I42">
        <v>-110</v>
      </c>
    </row>
    <row r="43" spans="1:9" x14ac:dyDescent="0.2">
      <c r="A43" t="s">
        <v>2164</v>
      </c>
      <c r="B43" t="s">
        <v>2165</v>
      </c>
      <c r="C43" t="s">
        <v>857</v>
      </c>
      <c r="D43" t="s">
        <v>860</v>
      </c>
      <c r="E43" t="s">
        <v>2218</v>
      </c>
      <c r="F43" t="s">
        <v>2166</v>
      </c>
      <c r="G43" t="s">
        <v>2167</v>
      </c>
      <c r="H43">
        <v>-110</v>
      </c>
      <c r="I43">
        <v>-110</v>
      </c>
    </row>
    <row r="44" spans="1:9" x14ac:dyDescent="0.2">
      <c r="A44" t="s">
        <v>2170</v>
      </c>
      <c r="B44" t="s">
        <v>2171</v>
      </c>
      <c r="C44" t="s">
        <v>857</v>
      </c>
      <c r="D44" t="s">
        <v>852</v>
      </c>
      <c r="E44" t="s">
        <v>2230</v>
      </c>
      <c r="F44" t="s">
        <v>2201</v>
      </c>
      <c r="G44" t="s">
        <v>2202</v>
      </c>
      <c r="H44">
        <v>-110</v>
      </c>
      <c r="I44">
        <v>-110</v>
      </c>
    </row>
    <row r="45" spans="1:9" x14ac:dyDescent="0.2">
      <c r="A45" t="s">
        <v>2170</v>
      </c>
      <c r="B45" t="s">
        <v>2171</v>
      </c>
      <c r="C45" t="s">
        <v>857</v>
      </c>
      <c r="D45" t="s">
        <v>854</v>
      </c>
      <c r="E45" t="s">
        <v>2213</v>
      </c>
      <c r="F45" t="s">
        <v>2201</v>
      </c>
      <c r="G45" t="s">
        <v>2202</v>
      </c>
      <c r="H45">
        <v>-115</v>
      </c>
      <c r="I45">
        <v>-105</v>
      </c>
    </row>
    <row r="46" spans="1:9" x14ac:dyDescent="0.2">
      <c r="A46" t="s">
        <v>2170</v>
      </c>
      <c r="B46" t="s">
        <v>2171</v>
      </c>
      <c r="C46" t="s">
        <v>857</v>
      </c>
      <c r="D46" t="s">
        <v>859</v>
      </c>
      <c r="E46" t="s">
        <v>2215</v>
      </c>
      <c r="F46" t="s">
        <v>2203</v>
      </c>
      <c r="G46" t="s">
        <v>2204</v>
      </c>
      <c r="H46">
        <v>-108</v>
      </c>
      <c r="I46">
        <v>-108</v>
      </c>
    </row>
    <row r="47" spans="1:9" x14ac:dyDescent="0.2">
      <c r="A47" t="s">
        <v>2170</v>
      </c>
      <c r="B47" t="s">
        <v>2171</v>
      </c>
      <c r="C47" t="s">
        <v>857</v>
      </c>
      <c r="D47" t="s">
        <v>858</v>
      </c>
      <c r="E47" t="s">
        <v>2214</v>
      </c>
      <c r="F47" t="s">
        <v>2203</v>
      </c>
      <c r="G47" t="s">
        <v>2204</v>
      </c>
      <c r="H47">
        <v>-110</v>
      </c>
      <c r="I47">
        <v>-110</v>
      </c>
    </row>
    <row r="48" spans="1:9" x14ac:dyDescent="0.2">
      <c r="A48" t="s">
        <v>2170</v>
      </c>
      <c r="B48" t="s">
        <v>2171</v>
      </c>
      <c r="C48" t="s">
        <v>857</v>
      </c>
      <c r="D48" t="s">
        <v>856</v>
      </c>
      <c r="E48" t="s">
        <v>2219</v>
      </c>
      <c r="F48" t="s">
        <v>2201</v>
      </c>
      <c r="G48" t="s">
        <v>2202</v>
      </c>
      <c r="H48">
        <v>-110</v>
      </c>
      <c r="I48">
        <v>-113</v>
      </c>
    </row>
    <row r="49" spans="1:9" x14ac:dyDescent="0.2">
      <c r="A49" t="s">
        <v>2170</v>
      </c>
      <c r="B49" t="s">
        <v>2171</v>
      </c>
      <c r="C49" t="s">
        <v>857</v>
      </c>
      <c r="D49" t="s">
        <v>2148</v>
      </c>
      <c r="E49" t="s">
        <v>2220</v>
      </c>
      <c r="F49" t="s">
        <v>2203</v>
      </c>
      <c r="G49" t="s">
        <v>2204</v>
      </c>
      <c r="H49">
        <v>-110</v>
      </c>
      <c r="I49">
        <v>-110</v>
      </c>
    </row>
    <row r="50" spans="1:9" x14ac:dyDescent="0.2">
      <c r="A50" t="s">
        <v>2170</v>
      </c>
      <c r="B50" t="s">
        <v>2171</v>
      </c>
      <c r="C50" t="s">
        <v>857</v>
      </c>
      <c r="D50" t="s">
        <v>855</v>
      </c>
      <c r="E50" t="s">
        <v>2230</v>
      </c>
      <c r="F50" t="s">
        <v>2203</v>
      </c>
      <c r="G50" t="s">
        <v>2204</v>
      </c>
      <c r="H50">
        <v>-110</v>
      </c>
      <c r="I50">
        <v>-110</v>
      </c>
    </row>
    <row r="51" spans="1:9" x14ac:dyDescent="0.2">
      <c r="A51" t="s">
        <v>2170</v>
      </c>
      <c r="B51" t="s">
        <v>2171</v>
      </c>
      <c r="C51" t="s">
        <v>857</v>
      </c>
      <c r="D51" t="s">
        <v>853</v>
      </c>
      <c r="E51" t="s">
        <v>2216</v>
      </c>
      <c r="F51" t="s">
        <v>2201</v>
      </c>
      <c r="G51" t="s">
        <v>2202</v>
      </c>
      <c r="H51">
        <v>-110</v>
      </c>
      <c r="I51">
        <v>-110</v>
      </c>
    </row>
    <row r="52" spans="1:9" x14ac:dyDescent="0.2">
      <c r="A52" t="s">
        <v>2170</v>
      </c>
      <c r="B52" t="s">
        <v>2171</v>
      </c>
      <c r="C52" t="s">
        <v>857</v>
      </c>
      <c r="D52" t="s">
        <v>860</v>
      </c>
      <c r="E52" t="s">
        <v>2218</v>
      </c>
      <c r="F52" t="s">
        <v>2203</v>
      </c>
      <c r="G52" t="s">
        <v>2204</v>
      </c>
      <c r="H52">
        <v>-110</v>
      </c>
      <c r="I52">
        <v>-110</v>
      </c>
    </row>
    <row r="53" spans="1:9" x14ac:dyDescent="0.2">
      <c r="A53" t="s">
        <v>2159</v>
      </c>
      <c r="B53" t="s">
        <v>2172</v>
      </c>
      <c r="C53" t="s">
        <v>857</v>
      </c>
      <c r="D53" t="s">
        <v>852</v>
      </c>
      <c r="E53" t="s">
        <v>2230</v>
      </c>
      <c r="F53" t="s">
        <v>2155</v>
      </c>
      <c r="G53" t="s">
        <v>2156</v>
      </c>
      <c r="H53">
        <v>-115</v>
      </c>
      <c r="I53">
        <v>-105</v>
      </c>
    </row>
    <row r="54" spans="1:9" x14ac:dyDescent="0.2">
      <c r="A54" t="s">
        <v>2159</v>
      </c>
      <c r="B54" t="s">
        <v>2172</v>
      </c>
      <c r="C54" t="s">
        <v>857</v>
      </c>
      <c r="D54" t="s">
        <v>858</v>
      </c>
      <c r="E54" t="s">
        <v>2214</v>
      </c>
      <c r="F54" t="s">
        <v>2157</v>
      </c>
      <c r="G54" t="s">
        <v>2158</v>
      </c>
      <c r="H54">
        <v>-108</v>
      </c>
      <c r="I54">
        <v>-112</v>
      </c>
    </row>
    <row r="55" spans="1:9" x14ac:dyDescent="0.2">
      <c r="A55" t="s">
        <v>2159</v>
      </c>
      <c r="B55" t="s">
        <v>2172</v>
      </c>
      <c r="C55" t="s">
        <v>857</v>
      </c>
      <c r="D55" t="s">
        <v>859</v>
      </c>
      <c r="E55" t="s">
        <v>2215</v>
      </c>
      <c r="F55" t="s">
        <v>2157</v>
      </c>
      <c r="G55" t="s">
        <v>2158</v>
      </c>
      <c r="H55">
        <v>-106</v>
      </c>
      <c r="I55">
        <v>-110</v>
      </c>
    </row>
    <row r="56" spans="1:9" x14ac:dyDescent="0.2">
      <c r="A56" t="s">
        <v>2159</v>
      </c>
      <c r="B56" t="s">
        <v>2172</v>
      </c>
      <c r="C56" t="s">
        <v>857</v>
      </c>
      <c r="D56" t="s">
        <v>2148</v>
      </c>
      <c r="E56" t="s">
        <v>2220</v>
      </c>
      <c r="F56" t="s">
        <v>2205</v>
      </c>
      <c r="G56" t="s">
        <v>2206</v>
      </c>
      <c r="H56">
        <v>-110</v>
      </c>
      <c r="I56">
        <v>-110</v>
      </c>
    </row>
    <row r="57" spans="1:9" x14ac:dyDescent="0.2">
      <c r="A57" t="s">
        <v>2159</v>
      </c>
      <c r="B57" t="s">
        <v>2172</v>
      </c>
      <c r="C57" t="s">
        <v>857</v>
      </c>
      <c r="D57" t="s">
        <v>854</v>
      </c>
      <c r="E57" t="s">
        <v>2213</v>
      </c>
      <c r="F57" t="s">
        <v>2155</v>
      </c>
      <c r="G57" t="s">
        <v>2156</v>
      </c>
      <c r="H57">
        <v>-115</v>
      </c>
      <c r="I57">
        <v>-105</v>
      </c>
    </row>
    <row r="58" spans="1:9" x14ac:dyDescent="0.2">
      <c r="A58" t="s">
        <v>2159</v>
      </c>
      <c r="B58" t="s">
        <v>2172</v>
      </c>
      <c r="C58" t="s">
        <v>857</v>
      </c>
      <c r="D58" t="s">
        <v>856</v>
      </c>
      <c r="E58" t="s">
        <v>2219</v>
      </c>
      <c r="F58" t="s">
        <v>2155</v>
      </c>
      <c r="G58" t="s">
        <v>2156</v>
      </c>
      <c r="H58">
        <v>-114</v>
      </c>
      <c r="I58">
        <v>-109</v>
      </c>
    </row>
    <row r="59" spans="1:9" x14ac:dyDescent="0.2">
      <c r="A59" t="s">
        <v>2159</v>
      </c>
      <c r="B59" t="s">
        <v>2172</v>
      </c>
      <c r="C59" t="s">
        <v>857</v>
      </c>
      <c r="D59" t="s">
        <v>853</v>
      </c>
      <c r="E59" t="s">
        <v>2216</v>
      </c>
      <c r="F59" t="s">
        <v>2155</v>
      </c>
      <c r="G59" t="s">
        <v>2156</v>
      </c>
      <c r="H59">
        <v>-115</v>
      </c>
      <c r="I59">
        <v>-105</v>
      </c>
    </row>
    <row r="60" spans="1:9" x14ac:dyDescent="0.2">
      <c r="A60" t="s">
        <v>2159</v>
      </c>
      <c r="B60" t="s">
        <v>2172</v>
      </c>
      <c r="C60" t="s">
        <v>857</v>
      </c>
      <c r="D60" t="s">
        <v>860</v>
      </c>
      <c r="E60" t="s">
        <v>2218</v>
      </c>
      <c r="F60" t="s">
        <v>2157</v>
      </c>
      <c r="G60" t="s">
        <v>2158</v>
      </c>
      <c r="H60">
        <v>-110</v>
      </c>
      <c r="I60">
        <v>-110</v>
      </c>
    </row>
    <row r="61" spans="1:9" x14ac:dyDescent="0.2">
      <c r="A61" t="s">
        <v>2159</v>
      </c>
      <c r="B61" t="s">
        <v>2172</v>
      </c>
      <c r="C61" t="s">
        <v>857</v>
      </c>
      <c r="D61" t="s">
        <v>855</v>
      </c>
      <c r="E61" t="s">
        <v>2230</v>
      </c>
      <c r="F61" t="s">
        <v>2157</v>
      </c>
      <c r="G61" t="s">
        <v>2158</v>
      </c>
      <c r="H61">
        <v>-110</v>
      </c>
      <c r="I61">
        <v>-110</v>
      </c>
    </row>
    <row r="62" spans="1:9" x14ac:dyDescent="0.2">
      <c r="A62" t="s">
        <v>2173</v>
      </c>
      <c r="B62" t="s">
        <v>2174</v>
      </c>
      <c r="C62" t="s">
        <v>857</v>
      </c>
      <c r="D62" t="s">
        <v>852</v>
      </c>
      <c r="E62" t="s">
        <v>2230</v>
      </c>
      <c r="F62" t="s">
        <v>2175</v>
      </c>
      <c r="G62" t="s">
        <v>2176</v>
      </c>
      <c r="H62">
        <v>-105</v>
      </c>
      <c r="I62">
        <v>-115</v>
      </c>
    </row>
    <row r="63" spans="1:9" x14ac:dyDescent="0.2">
      <c r="A63" t="s">
        <v>2173</v>
      </c>
      <c r="B63" t="s">
        <v>2174</v>
      </c>
      <c r="C63" t="s">
        <v>857</v>
      </c>
      <c r="D63" t="s">
        <v>854</v>
      </c>
      <c r="E63" t="s">
        <v>2213</v>
      </c>
      <c r="F63" t="s">
        <v>2175</v>
      </c>
      <c r="G63" t="s">
        <v>2176</v>
      </c>
      <c r="H63">
        <v>-110</v>
      </c>
      <c r="I63">
        <v>-110</v>
      </c>
    </row>
    <row r="64" spans="1:9" x14ac:dyDescent="0.2">
      <c r="A64" t="s">
        <v>2173</v>
      </c>
      <c r="B64" t="s">
        <v>2174</v>
      </c>
      <c r="C64" t="s">
        <v>857</v>
      </c>
      <c r="D64" t="s">
        <v>858</v>
      </c>
      <c r="E64" t="s">
        <v>2214</v>
      </c>
      <c r="F64" t="s">
        <v>2177</v>
      </c>
      <c r="G64" t="s">
        <v>2178</v>
      </c>
      <c r="H64">
        <v>-112</v>
      </c>
      <c r="I64">
        <v>-108</v>
      </c>
    </row>
    <row r="65" spans="1:9" x14ac:dyDescent="0.2">
      <c r="A65" t="s">
        <v>2173</v>
      </c>
      <c r="B65" t="s">
        <v>2174</v>
      </c>
      <c r="C65" t="s">
        <v>857</v>
      </c>
      <c r="D65" t="s">
        <v>859</v>
      </c>
      <c r="E65" t="s">
        <v>2215</v>
      </c>
      <c r="F65" t="s">
        <v>2177</v>
      </c>
      <c r="G65" t="s">
        <v>2178</v>
      </c>
      <c r="H65">
        <v>-110</v>
      </c>
      <c r="I65">
        <v>-106</v>
      </c>
    </row>
    <row r="66" spans="1:9" x14ac:dyDescent="0.2">
      <c r="A66" t="s">
        <v>2173</v>
      </c>
      <c r="B66" t="s">
        <v>2174</v>
      </c>
      <c r="C66" t="s">
        <v>857</v>
      </c>
      <c r="D66" t="s">
        <v>853</v>
      </c>
      <c r="E66" t="s">
        <v>2216</v>
      </c>
      <c r="F66" t="s">
        <v>2175</v>
      </c>
      <c r="G66" t="s">
        <v>2176</v>
      </c>
      <c r="H66">
        <v>-105</v>
      </c>
      <c r="I66">
        <v>-115</v>
      </c>
    </row>
    <row r="67" spans="1:9" x14ac:dyDescent="0.2">
      <c r="A67" t="s">
        <v>2173</v>
      </c>
      <c r="B67" t="s">
        <v>2174</v>
      </c>
      <c r="C67" t="s">
        <v>857</v>
      </c>
      <c r="D67" t="s">
        <v>2148</v>
      </c>
      <c r="E67" t="s">
        <v>2220</v>
      </c>
      <c r="F67" t="s">
        <v>2177</v>
      </c>
      <c r="G67" t="s">
        <v>2178</v>
      </c>
      <c r="H67">
        <v>-110</v>
      </c>
      <c r="I67">
        <v>-110</v>
      </c>
    </row>
    <row r="68" spans="1:9" x14ac:dyDescent="0.2">
      <c r="A68" t="s">
        <v>2173</v>
      </c>
      <c r="B68" t="s">
        <v>2174</v>
      </c>
      <c r="C68" t="s">
        <v>857</v>
      </c>
      <c r="D68" t="s">
        <v>856</v>
      </c>
      <c r="E68" t="s">
        <v>2219</v>
      </c>
      <c r="F68" t="s">
        <v>2175</v>
      </c>
      <c r="G68" t="s">
        <v>2176</v>
      </c>
      <c r="H68">
        <v>-117</v>
      </c>
      <c r="I68">
        <v>-107</v>
      </c>
    </row>
    <row r="69" spans="1:9" x14ac:dyDescent="0.2">
      <c r="A69" t="s">
        <v>2173</v>
      </c>
      <c r="B69" t="s">
        <v>2174</v>
      </c>
      <c r="C69" t="s">
        <v>857</v>
      </c>
      <c r="D69" t="s">
        <v>855</v>
      </c>
      <c r="E69" t="s">
        <v>2230</v>
      </c>
      <c r="F69" t="s">
        <v>2207</v>
      </c>
      <c r="G69" t="s">
        <v>2208</v>
      </c>
      <c r="H69">
        <v>-115</v>
      </c>
      <c r="I69">
        <v>-105</v>
      </c>
    </row>
    <row r="70" spans="1:9" x14ac:dyDescent="0.2">
      <c r="A70" t="s">
        <v>2173</v>
      </c>
      <c r="B70" t="s">
        <v>2174</v>
      </c>
      <c r="C70" t="s">
        <v>857</v>
      </c>
      <c r="D70" t="s">
        <v>860</v>
      </c>
      <c r="E70" t="s">
        <v>2218</v>
      </c>
      <c r="F70" t="s">
        <v>2177</v>
      </c>
      <c r="G70" t="s">
        <v>2178</v>
      </c>
      <c r="H70">
        <v>-110</v>
      </c>
      <c r="I70">
        <v>-110</v>
      </c>
    </row>
    <row r="71" spans="1:9" x14ac:dyDescent="0.2">
      <c r="A71" t="s">
        <v>2179</v>
      </c>
      <c r="B71" t="s">
        <v>2180</v>
      </c>
      <c r="C71" t="s">
        <v>857</v>
      </c>
      <c r="D71" t="s">
        <v>852</v>
      </c>
      <c r="E71" t="s">
        <v>2230</v>
      </c>
      <c r="F71" t="s">
        <v>2209</v>
      </c>
      <c r="G71" t="s">
        <v>2210</v>
      </c>
      <c r="H71">
        <v>-110</v>
      </c>
      <c r="I71">
        <v>-110</v>
      </c>
    </row>
    <row r="72" spans="1:9" x14ac:dyDescent="0.2">
      <c r="A72" t="s">
        <v>2179</v>
      </c>
      <c r="B72" t="s">
        <v>2180</v>
      </c>
      <c r="C72" t="s">
        <v>857</v>
      </c>
      <c r="D72" t="s">
        <v>854</v>
      </c>
      <c r="E72" t="s">
        <v>2213</v>
      </c>
      <c r="F72" t="s">
        <v>2209</v>
      </c>
      <c r="G72" t="s">
        <v>2210</v>
      </c>
      <c r="H72">
        <v>-115</v>
      </c>
      <c r="I72">
        <v>-105</v>
      </c>
    </row>
    <row r="73" spans="1:9" x14ac:dyDescent="0.2">
      <c r="A73" t="s">
        <v>2179</v>
      </c>
      <c r="B73" t="s">
        <v>2180</v>
      </c>
      <c r="C73" t="s">
        <v>857</v>
      </c>
      <c r="D73" t="s">
        <v>858</v>
      </c>
      <c r="E73" t="s">
        <v>2214</v>
      </c>
      <c r="F73" t="s">
        <v>2209</v>
      </c>
      <c r="G73" t="s">
        <v>2210</v>
      </c>
      <c r="H73">
        <v>-110</v>
      </c>
      <c r="I73">
        <v>-110</v>
      </c>
    </row>
    <row r="74" spans="1:9" x14ac:dyDescent="0.2">
      <c r="A74" t="s">
        <v>2179</v>
      </c>
      <c r="B74" t="s">
        <v>2180</v>
      </c>
      <c r="C74" t="s">
        <v>857</v>
      </c>
      <c r="D74" t="s">
        <v>859</v>
      </c>
      <c r="E74" t="s">
        <v>2215</v>
      </c>
      <c r="F74" t="s">
        <v>2209</v>
      </c>
      <c r="G74" t="s">
        <v>2210</v>
      </c>
      <c r="H74">
        <v>-108</v>
      </c>
      <c r="I74">
        <v>-108</v>
      </c>
    </row>
    <row r="75" spans="1:9" x14ac:dyDescent="0.2">
      <c r="A75" t="s">
        <v>2179</v>
      </c>
      <c r="B75" t="s">
        <v>2180</v>
      </c>
      <c r="C75" t="s">
        <v>857</v>
      </c>
      <c r="D75" t="s">
        <v>2148</v>
      </c>
      <c r="E75" t="s">
        <v>2220</v>
      </c>
      <c r="F75" t="s">
        <v>2209</v>
      </c>
      <c r="G75" t="s">
        <v>2210</v>
      </c>
      <c r="H75">
        <v>-110</v>
      </c>
      <c r="I75">
        <v>-110</v>
      </c>
    </row>
    <row r="76" spans="1:9" x14ac:dyDescent="0.2">
      <c r="A76" t="s">
        <v>2179</v>
      </c>
      <c r="B76" t="s">
        <v>2180</v>
      </c>
      <c r="C76" t="s">
        <v>857</v>
      </c>
      <c r="D76" t="s">
        <v>853</v>
      </c>
      <c r="E76" t="s">
        <v>2216</v>
      </c>
      <c r="F76" t="s">
        <v>2209</v>
      </c>
      <c r="G76" t="s">
        <v>2210</v>
      </c>
      <c r="H76">
        <v>-110</v>
      </c>
      <c r="I76">
        <v>-110</v>
      </c>
    </row>
    <row r="77" spans="1:9" x14ac:dyDescent="0.2">
      <c r="A77" t="s">
        <v>2179</v>
      </c>
      <c r="B77" t="s">
        <v>2180</v>
      </c>
      <c r="C77" t="s">
        <v>857</v>
      </c>
      <c r="D77" t="s">
        <v>856</v>
      </c>
      <c r="E77" t="s">
        <v>2219</v>
      </c>
      <c r="F77" t="s">
        <v>2181</v>
      </c>
      <c r="G77" t="s">
        <v>2182</v>
      </c>
      <c r="H77">
        <v>-109</v>
      </c>
      <c r="I77">
        <v>-114</v>
      </c>
    </row>
    <row r="78" spans="1:9" x14ac:dyDescent="0.2">
      <c r="A78" t="s">
        <v>2179</v>
      </c>
      <c r="B78" t="s">
        <v>2180</v>
      </c>
      <c r="C78" t="s">
        <v>857</v>
      </c>
      <c r="D78" t="s">
        <v>855</v>
      </c>
      <c r="E78" t="s">
        <v>2230</v>
      </c>
      <c r="F78" t="s">
        <v>2211</v>
      </c>
      <c r="G78" t="s">
        <v>2212</v>
      </c>
      <c r="H78">
        <v>-110</v>
      </c>
      <c r="I78">
        <v>-110</v>
      </c>
    </row>
    <row r="79" spans="1:9" x14ac:dyDescent="0.2">
      <c r="A79" t="s">
        <v>2179</v>
      </c>
      <c r="B79" t="s">
        <v>2180</v>
      </c>
      <c r="C79" t="s">
        <v>857</v>
      </c>
      <c r="D79" t="s">
        <v>860</v>
      </c>
      <c r="E79" t="s">
        <v>2218</v>
      </c>
      <c r="F79" t="s">
        <v>2209</v>
      </c>
      <c r="G79" t="s">
        <v>2210</v>
      </c>
      <c r="H79">
        <v>-110</v>
      </c>
      <c r="I79">
        <v>-110</v>
      </c>
    </row>
    <row r="80" spans="1:9" x14ac:dyDescent="0.2">
      <c r="A80" t="s">
        <v>2183</v>
      </c>
      <c r="B80" t="s">
        <v>2184</v>
      </c>
      <c r="C80" t="s">
        <v>857</v>
      </c>
      <c r="D80" t="s">
        <v>852</v>
      </c>
      <c r="E80" t="s">
        <v>2230</v>
      </c>
      <c r="F80" t="s">
        <v>2151</v>
      </c>
      <c r="G80" t="s">
        <v>2152</v>
      </c>
      <c r="H80">
        <v>-110</v>
      </c>
      <c r="I80">
        <v>-110</v>
      </c>
    </row>
    <row r="81" spans="1:9" x14ac:dyDescent="0.2">
      <c r="A81" t="s">
        <v>2183</v>
      </c>
      <c r="B81" t="s">
        <v>2184</v>
      </c>
      <c r="C81" t="s">
        <v>857</v>
      </c>
      <c r="D81" t="s">
        <v>854</v>
      </c>
      <c r="E81" t="s">
        <v>2213</v>
      </c>
      <c r="F81" t="s">
        <v>2168</v>
      </c>
      <c r="G81" t="s">
        <v>2169</v>
      </c>
      <c r="H81">
        <v>-115</v>
      </c>
      <c r="I81">
        <v>-105</v>
      </c>
    </row>
    <row r="82" spans="1:9" x14ac:dyDescent="0.2">
      <c r="A82" t="s">
        <v>2183</v>
      </c>
      <c r="B82" t="s">
        <v>2184</v>
      </c>
      <c r="C82" t="s">
        <v>857</v>
      </c>
      <c r="D82" t="s">
        <v>859</v>
      </c>
      <c r="E82" t="s">
        <v>2215</v>
      </c>
      <c r="F82" t="s">
        <v>2151</v>
      </c>
      <c r="G82" t="s">
        <v>2152</v>
      </c>
      <c r="H82">
        <v>-108</v>
      </c>
      <c r="I82">
        <v>-108</v>
      </c>
    </row>
    <row r="83" spans="1:9" x14ac:dyDescent="0.2">
      <c r="A83" t="s">
        <v>2183</v>
      </c>
      <c r="B83" t="s">
        <v>2184</v>
      </c>
      <c r="C83" t="s">
        <v>857</v>
      </c>
      <c r="D83" t="s">
        <v>858</v>
      </c>
      <c r="E83" t="s">
        <v>2214</v>
      </c>
      <c r="F83" t="s">
        <v>2151</v>
      </c>
      <c r="G83" t="s">
        <v>2152</v>
      </c>
      <c r="H83">
        <v>-110</v>
      </c>
      <c r="I83">
        <v>-110</v>
      </c>
    </row>
    <row r="84" spans="1:9" x14ac:dyDescent="0.2">
      <c r="A84" t="s">
        <v>2183</v>
      </c>
      <c r="B84" t="s">
        <v>2184</v>
      </c>
      <c r="C84" t="s">
        <v>857</v>
      </c>
      <c r="D84" t="s">
        <v>853</v>
      </c>
      <c r="E84" t="s">
        <v>2216</v>
      </c>
      <c r="F84" t="s">
        <v>2151</v>
      </c>
      <c r="G84" t="s">
        <v>2152</v>
      </c>
      <c r="H84">
        <v>-110</v>
      </c>
      <c r="I84">
        <v>-110</v>
      </c>
    </row>
    <row r="85" spans="1:9" x14ac:dyDescent="0.2">
      <c r="A85" t="s">
        <v>2183</v>
      </c>
      <c r="B85" t="s">
        <v>2184</v>
      </c>
      <c r="C85" t="s">
        <v>857</v>
      </c>
      <c r="D85" t="s">
        <v>856</v>
      </c>
      <c r="E85" t="s">
        <v>2219</v>
      </c>
      <c r="F85" t="s">
        <v>2151</v>
      </c>
      <c r="G85" t="s">
        <v>2152</v>
      </c>
      <c r="H85">
        <v>-113</v>
      </c>
      <c r="I85">
        <v>-109</v>
      </c>
    </row>
    <row r="86" spans="1:9" x14ac:dyDescent="0.2">
      <c r="A86" t="s">
        <v>2183</v>
      </c>
      <c r="B86" t="s">
        <v>2184</v>
      </c>
      <c r="C86" t="s">
        <v>857</v>
      </c>
      <c r="D86" t="s">
        <v>2148</v>
      </c>
      <c r="E86" t="s">
        <v>2220</v>
      </c>
      <c r="F86" t="s">
        <v>2151</v>
      </c>
      <c r="G86" t="s">
        <v>2152</v>
      </c>
      <c r="H86">
        <v>-110</v>
      </c>
      <c r="I86">
        <v>-110</v>
      </c>
    </row>
    <row r="87" spans="1:9" x14ac:dyDescent="0.2">
      <c r="A87" t="s">
        <v>2183</v>
      </c>
      <c r="B87" t="s">
        <v>2184</v>
      </c>
      <c r="C87" t="s">
        <v>857</v>
      </c>
      <c r="D87" t="s">
        <v>855</v>
      </c>
      <c r="E87" t="s">
        <v>2230</v>
      </c>
      <c r="F87" t="s">
        <v>2151</v>
      </c>
      <c r="G87" t="s">
        <v>2152</v>
      </c>
      <c r="H87">
        <v>-110</v>
      </c>
      <c r="I87">
        <v>-110</v>
      </c>
    </row>
    <row r="88" spans="1:9" x14ac:dyDescent="0.2">
      <c r="A88" t="s">
        <v>2183</v>
      </c>
      <c r="B88" t="s">
        <v>2184</v>
      </c>
      <c r="C88" t="s">
        <v>857</v>
      </c>
      <c r="D88" t="s">
        <v>860</v>
      </c>
      <c r="E88" t="s">
        <v>2218</v>
      </c>
      <c r="F88" t="s">
        <v>2151</v>
      </c>
      <c r="G88" t="s">
        <v>2152</v>
      </c>
      <c r="H88">
        <v>-110</v>
      </c>
      <c r="I88">
        <v>-110</v>
      </c>
    </row>
    <row r="89" spans="1:9" x14ac:dyDescent="0.2">
      <c r="A89" t="s">
        <v>2185</v>
      </c>
      <c r="B89" t="s">
        <v>2186</v>
      </c>
      <c r="C89" t="s">
        <v>857</v>
      </c>
      <c r="D89" t="s">
        <v>852</v>
      </c>
      <c r="E89" t="s">
        <v>2230</v>
      </c>
      <c r="F89" t="s">
        <v>2187</v>
      </c>
      <c r="G89" t="s">
        <v>2188</v>
      </c>
      <c r="H89">
        <v>-108</v>
      </c>
      <c r="I89">
        <v>-112</v>
      </c>
    </row>
    <row r="90" spans="1:9" x14ac:dyDescent="0.2">
      <c r="A90" t="s">
        <v>2185</v>
      </c>
      <c r="B90" t="s">
        <v>2186</v>
      </c>
      <c r="C90" t="s">
        <v>857</v>
      </c>
      <c r="D90" t="s">
        <v>854</v>
      </c>
      <c r="E90" t="s">
        <v>2213</v>
      </c>
      <c r="F90" t="s">
        <v>2187</v>
      </c>
      <c r="G90" t="s">
        <v>2188</v>
      </c>
      <c r="H90">
        <v>-110</v>
      </c>
      <c r="I90">
        <v>-110</v>
      </c>
    </row>
    <row r="91" spans="1:9" x14ac:dyDescent="0.2">
      <c r="A91" t="s">
        <v>2185</v>
      </c>
      <c r="B91" t="s">
        <v>2186</v>
      </c>
      <c r="C91" t="s">
        <v>857</v>
      </c>
      <c r="D91" t="s">
        <v>858</v>
      </c>
      <c r="E91" t="s">
        <v>2214</v>
      </c>
      <c r="F91" t="s">
        <v>2187</v>
      </c>
      <c r="G91" t="s">
        <v>2188</v>
      </c>
      <c r="H91">
        <v>-110</v>
      </c>
      <c r="I91">
        <v>-110</v>
      </c>
    </row>
    <row r="92" spans="1:9" x14ac:dyDescent="0.2">
      <c r="A92" t="s">
        <v>2185</v>
      </c>
      <c r="B92" t="s">
        <v>2186</v>
      </c>
      <c r="C92" t="s">
        <v>857</v>
      </c>
      <c r="D92" t="s">
        <v>859</v>
      </c>
      <c r="E92" t="s">
        <v>2215</v>
      </c>
      <c r="F92" t="s">
        <v>2187</v>
      </c>
      <c r="G92" t="s">
        <v>2188</v>
      </c>
      <c r="H92">
        <v>-108</v>
      </c>
      <c r="I92">
        <v>-108</v>
      </c>
    </row>
    <row r="93" spans="1:9" x14ac:dyDescent="0.2">
      <c r="A93" t="s">
        <v>2185</v>
      </c>
      <c r="B93" t="s">
        <v>2186</v>
      </c>
      <c r="C93" t="s">
        <v>857</v>
      </c>
      <c r="D93" t="s">
        <v>853</v>
      </c>
      <c r="E93" t="s">
        <v>2216</v>
      </c>
      <c r="F93" t="s">
        <v>2187</v>
      </c>
      <c r="G93" t="s">
        <v>2188</v>
      </c>
      <c r="H93">
        <v>-110</v>
      </c>
      <c r="I93">
        <v>-110</v>
      </c>
    </row>
    <row r="94" spans="1:9" x14ac:dyDescent="0.2">
      <c r="A94" t="s">
        <v>2185</v>
      </c>
      <c r="B94" t="s">
        <v>2186</v>
      </c>
      <c r="C94" t="s">
        <v>857</v>
      </c>
      <c r="D94" t="s">
        <v>856</v>
      </c>
      <c r="E94" t="s">
        <v>2219</v>
      </c>
      <c r="F94" t="s">
        <v>2187</v>
      </c>
      <c r="G94" t="s">
        <v>2188</v>
      </c>
      <c r="H94">
        <v>-112</v>
      </c>
      <c r="I94">
        <v>-112</v>
      </c>
    </row>
    <row r="95" spans="1:9" x14ac:dyDescent="0.2">
      <c r="A95" t="s">
        <v>2185</v>
      </c>
      <c r="B95" t="s">
        <v>2186</v>
      </c>
      <c r="C95" t="s">
        <v>857</v>
      </c>
      <c r="D95" t="s">
        <v>2148</v>
      </c>
      <c r="E95" t="s">
        <v>2220</v>
      </c>
      <c r="F95" t="s">
        <v>2187</v>
      </c>
      <c r="G95" t="s">
        <v>2188</v>
      </c>
      <c r="H95">
        <v>-110</v>
      </c>
      <c r="I95">
        <v>-110</v>
      </c>
    </row>
    <row r="96" spans="1:9" x14ac:dyDescent="0.2">
      <c r="A96" t="s">
        <v>2185</v>
      </c>
      <c r="B96" t="s">
        <v>2186</v>
      </c>
      <c r="C96" t="s">
        <v>857</v>
      </c>
      <c r="D96" t="s">
        <v>855</v>
      </c>
      <c r="E96" t="s">
        <v>2230</v>
      </c>
      <c r="F96" t="s">
        <v>2187</v>
      </c>
      <c r="G96" t="s">
        <v>2188</v>
      </c>
      <c r="H96">
        <v>-110</v>
      </c>
      <c r="I96">
        <v>-110</v>
      </c>
    </row>
    <row r="97" spans="1:9" x14ac:dyDescent="0.2">
      <c r="A97" t="s">
        <v>2185</v>
      </c>
      <c r="B97" t="s">
        <v>2186</v>
      </c>
      <c r="C97" t="s">
        <v>857</v>
      </c>
      <c r="D97" t="s">
        <v>860</v>
      </c>
      <c r="E97" t="s">
        <v>2218</v>
      </c>
      <c r="F97" t="s">
        <v>2187</v>
      </c>
      <c r="G97" t="s">
        <v>2188</v>
      </c>
      <c r="H97">
        <v>-110</v>
      </c>
      <c r="I97">
        <v>-110</v>
      </c>
    </row>
    <row r="98" spans="1:9" x14ac:dyDescent="0.2">
      <c r="A98" t="s">
        <v>2222</v>
      </c>
      <c r="B98" t="s">
        <v>2223</v>
      </c>
      <c r="C98" t="s">
        <v>857</v>
      </c>
      <c r="D98" t="s">
        <v>858</v>
      </c>
      <c r="E98" t="s">
        <v>2214</v>
      </c>
      <c r="F98" t="s">
        <v>2241</v>
      </c>
      <c r="G98" t="s">
        <v>2242</v>
      </c>
      <c r="H98">
        <v>-110</v>
      </c>
      <c r="I98">
        <v>-110</v>
      </c>
    </row>
    <row r="99" spans="1:9" x14ac:dyDescent="0.2">
      <c r="A99" t="s">
        <v>2222</v>
      </c>
      <c r="B99" t="s">
        <v>2223</v>
      </c>
      <c r="C99" t="s">
        <v>857</v>
      </c>
      <c r="D99" t="s">
        <v>859</v>
      </c>
      <c r="E99" t="s">
        <v>2215</v>
      </c>
      <c r="F99" t="s">
        <v>2241</v>
      </c>
      <c r="G99" t="s">
        <v>2242</v>
      </c>
      <c r="H99">
        <v>-108</v>
      </c>
      <c r="I99">
        <v>-108</v>
      </c>
    </row>
    <row r="100" spans="1:9" x14ac:dyDescent="0.2">
      <c r="A100" t="s">
        <v>2224</v>
      </c>
      <c r="B100" t="s">
        <v>2225</v>
      </c>
      <c r="C100" t="s">
        <v>857</v>
      </c>
      <c r="D100" t="s">
        <v>858</v>
      </c>
      <c r="E100" t="s">
        <v>2214</v>
      </c>
      <c r="F100" t="s">
        <v>2243</v>
      </c>
      <c r="G100" t="s">
        <v>2244</v>
      </c>
      <c r="H100">
        <v>-110</v>
      </c>
      <c r="I100">
        <v>-110</v>
      </c>
    </row>
    <row r="101" spans="1:9" x14ac:dyDescent="0.2">
      <c r="A101" t="s">
        <v>2224</v>
      </c>
      <c r="B101" t="s">
        <v>2225</v>
      </c>
      <c r="C101" t="s">
        <v>857</v>
      </c>
      <c r="D101" t="s">
        <v>859</v>
      </c>
      <c r="E101" t="s">
        <v>2215</v>
      </c>
      <c r="F101" t="s">
        <v>2243</v>
      </c>
      <c r="G101" t="s">
        <v>2244</v>
      </c>
      <c r="H101">
        <v>-108</v>
      </c>
      <c r="I101">
        <v>-108</v>
      </c>
    </row>
    <row r="102" spans="1:9" x14ac:dyDescent="0.2">
      <c r="A102" t="s">
        <v>2226</v>
      </c>
      <c r="B102" t="s">
        <v>2227</v>
      </c>
      <c r="C102" t="s">
        <v>857</v>
      </c>
      <c r="D102" t="s">
        <v>858</v>
      </c>
      <c r="E102" t="s">
        <v>2214</v>
      </c>
      <c r="F102" t="s">
        <v>2239</v>
      </c>
      <c r="G102" t="s">
        <v>2240</v>
      </c>
      <c r="H102">
        <v>-105</v>
      </c>
      <c r="I102">
        <v>-115</v>
      </c>
    </row>
    <row r="103" spans="1:9" x14ac:dyDescent="0.2">
      <c r="A103" t="s">
        <v>2226</v>
      </c>
      <c r="B103" t="s">
        <v>2227</v>
      </c>
      <c r="C103" t="s">
        <v>857</v>
      </c>
      <c r="D103" t="s">
        <v>859</v>
      </c>
      <c r="E103" t="s">
        <v>2215</v>
      </c>
      <c r="F103" t="s">
        <v>2239</v>
      </c>
      <c r="G103" t="s">
        <v>2240</v>
      </c>
      <c r="H103">
        <v>-103</v>
      </c>
      <c r="I103">
        <v>-113</v>
      </c>
    </row>
    <row r="104" spans="1:9" x14ac:dyDescent="0.2">
      <c r="A104" t="s">
        <v>2228</v>
      </c>
      <c r="B104" t="s">
        <v>2229</v>
      </c>
      <c r="C104" t="s">
        <v>857</v>
      </c>
      <c r="D104" t="s">
        <v>858</v>
      </c>
      <c r="E104" t="s">
        <v>2214</v>
      </c>
      <c r="F104" t="s">
        <v>2149</v>
      </c>
      <c r="G104" t="s">
        <v>2150</v>
      </c>
      <c r="H104">
        <v>-110</v>
      </c>
      <c r="I104">
        <v>-110</v>
      </c>
    </row>
    <row r="105" spans="1:9" x14ac:dyDescent="0.2">
      <c r="A105" t="s">
        <v>2228</v>
      </c>
      <c r="B105" t="s">
        <v>2229</v>
      </c>
      <c r="C105" t="s">
        <v>857</v>
      </c>
      <c r="D105" t="s">
        <v>859</v>
      </c>
      <c r="E105" t="s">
        <v>2215</v>
      </c>
      <c r="F105" t="s">
        <v>2149</v>
      </c>
      <c r="G105" t="s">
        <v>2150</v>
      </c>
      <c r="H105">
        <v>-108</v>
      </c>
      <c r="I105">
        <v>-108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I103"/>
  <sheetViews>
    <sheetView workbookViewId="0">
      <selection sqref="A1:XFD1048576"/>
    </sheetView>
  </sheetViews>
  <sheetFormatPr baseColWidth="10" defaultRowHeight="15" x14ac:dyDescent="0.2"/>
  <cols>
    <col min="1" max="1" width="48" bestFit="1" customWidth="1"/>
    <col min="2" max="2" width="22.6640625" bestFit="1" customWidth="1"/>
    <col min="5" max="5" width="22.6640625" bestFit="1" customWidth="1"/>
  </cols>
  <sheetData>
    <row r="1" spans="1:9" x14ac:dyDescent="0.2">
      <c r="A1" t="s">
        <v>843</v>
      </c>
      <c r="B1" t="s">
        <v>844</v>
      </c>
      <c r="C1" t="s">
        <v>845</v>
      </c>
      <c r="D1" t="s">
        <v>846</v>
      </c>
      <c r="E1" t="s">
        <v>847</v>
      </c>
      <c r="F1" t="s">
        <v>848</v>
      </c>
      <c r="G1" t="s">
        <v>849</v>
      </c>
      <c r="H1" t="s">
        <v>850</v>
      </c>
      <c r="I1" t="s">
        <v>851</v>
      </c>
    </row>
    <row r="2" spans="1:9" x14ac:dyDescent="0.2">
      <c r="A2" t="s">
        <v>2189</v>
      </c>
      <c r="B2" t="s">
        <v>2190</v>
      </c>
      <c r="C2" t="s">
        <v>857</v>
      </c>
      <c r="D2" t="s">
        <v>854</v>
      </c>
      <c r="E2" t="s">
        <v>2213</v>
      </c>
      <c r="F2">
        <v>-4.5</v>
      </c>
      <c r="G2">
        <v>4.5</v>
      </c>
      <c r="H2">
        <v>-110</v>
      </c>
      <c r="I2">
        <v>-110</v>
      </c>
    </row>
    <row r="3" spans="1:9" x14ac:dyDescent="0.2">
      <c r="A3" t="s">
        <v>2189</v>
      </c>
      <c r="B3" t="s">
        <v>2190</v>
      </c>
      <c r="C3" t="s">
        <v>857</v>
      </c>
      <c r="D3" t="s">
        <v>858</v>
      </c>
      <c r="E3" t="s">
        <v>2214</v>
      </c>
      <c r="F3">
        <v>-4</v>
      </c>
      <c r="G3">
        <v>4</v>
      </c>
      <c r="H3">
        <v>-110</v>
      </c>
      <c r="I3">
        <v>-110</v>
      </c>
    </row>
    <row r="4" spans="1:9" x14ac:dyDescent="0.2">
      <c r="A4" t="s">
        <v>2189</v>
      </c>
      <c r="B4" t="s">
        <v>2190</v>
      </c>
      <c r="C4" t="s">
        <v>857</v>
      </c>
      <c r="D4" t="s">
        <v>859</v>
      </c>
      <c r="E4" t="s">
        <v>2215</v>
      </c>
      <c r="F4">
        <v>-4</v>
      </c>
      <c r="G4">
        <v>4</v>
      </c>
      <c r="H4">
        <v>-106</v>
      </c>
      <c r="I4">
        <v>-106</v>
      </c>
    </row>
    <row r="5" spans="1:9" x14ac:dyDescent="0.2">
      <c r="A5" t="s">
        <v>2189</v>
      </c>
      <c r="B5" t="s">
        <v>2190</v>
      </c>
      <c r="C5" t="s">
        <v>857</v>
      </c>
      <c r="D5" t="s">
        <v>853</v>
      </c>
      <c r="E5" t="s">
        <v>2216</v>
      </c>
      <c r="F5">
        <v>-4.5</v>
      </c>
      <c r="G5">
        <v>4.5</v>
      </c>
      <c r="H5">
        <v>-105</v>
      </c>
      <c r="I5">
        <v>-115</v>
      </c>
    </row>
    <row r="6" spans="1:9" x14ac:dyDescent="0.2">
      <c r="A6" t="s">
        <v>2189</v>
      </c>
      <c r="B6" t="s">
        <v>2190</v>
      </c>
      <c r="C6" t="s">
        <v>857</v>
      </c>
      <c r="D6" t="s">
        <v>852</v>
      </c>
      <c r="E6" t="s">
        <v>2217</v>
      </c>
      <c r="F6">
        <v>-4.5</v>
      </c>
      <c r="G6">
        <v>4.5</v>
      </c>
      <c r="H6">
        <v>-105</v>
      </c>
      <c r="I6">
        <v>-115</v>
      </c>
    </row>
    <row r="7" spans="1:9" x14ac:dyDescent="0.2">
      <c r="A7" t="s">
        <v>2189</v>
      </c>
      <c r="B7" t="s">
        <v>2190</v>
      </c>
      <c r="C7" t="s">
        <v>857</v>
      </c>
      <c r="D7" t="s">
        <v>860</v>
      </c>
      <c r="E7" t="s">
        <v>2218</v>
      </c>
      <c r="F7">
        <v>-4</v>
      </c>
      <c r="G7">
        <v>4</v>
      </c>
      <c r="H7">
        <v>-110</v>
      </c>
      <c r="I7">
        <v>-110</v>
      </c>
    </row>
    <row r="8" spans="1:9" x14ac:dyDescent="0.2">
      <c r="A8" t="s">
        <v>2191</v>
      </c>
      <c r="B8" t="s">
        <v>2192</v>
      </c>
      <c r="C8" t="s">
        <v>857</v>
      </c>
      <c r="D8" t="s">
        <v>854</v>
      </c>
      <c r="E8" t="s">
        <v>2213</v>
      </c>
      <c r="F8">
        <v>-11.5</v>
      </c>
      <c r="G8">
        <v>11.5</v>
      </c>
      <c r="H8">
        <v>-105</v>
      </c>
      <c r="I8">
        <v>-115</v>
      </c>
    </row>
    <row r="9" spans="1:9" x14ac:dyDescent="0.2">
      <c r="A9" t="s">
        <v>2191</v>
      </c>
      <c r="B9" t="s">
        <v>2192</v>
      </c>
      <c r="C9" t="s">
        <v>857</v>
      </c>
      <c r="D9" t="s">
        <v>859</v>
      </c>
      <c r="E9" t="s">
        <v>2215</v>
      </c>
      <c r="F9">
        <v>-11</v>
      </c>
      <c r="G9">
        <v>11</v>
      </c>
      <c r="H9">
        <v>-106</v>
      </c>
      <c r="I9">
        <v>-106</v>
      </c>
    </row>
    <row r="10" spans="1:9" x14ac:dyDescent="0.2">
      <c r="A10" t="s">
        <v>2191</v>
      </c>
      <c r="B10" t="s">
        <v>2192</v>
      </c>
      <c r="C10" t="s">
        <v>857</v>
      </c>
      <c r="D10" t="s">
        <v>858</v>
      </c>
      <c r="E10" t="s">
        <v>2214</v>
      </c>
      <c r="F10">
        <v>-11</v>
      </c>
      <c r="G10">
        <v>11</v>
      </c>
      <c r="H10">
        <v>-110</v>
      </c>
      <c r="I10">
        <v>-110</v>
      </c>
    </row>
    <row r="11" spans="1:9" x14ac:dyDescent="0.2">
      <c r="A11" t="s">
        <v>2191</v>
      </c>
      <c r="B11" t="s">
        <v>2192</v>
      </c>
      <c r="C11" t="s">
        <v>857</v>
      </c>
      <c r="D11" t="s">
        <v>852</v>
      </c>
      <c r="E11" t="s">
        <v>2217</v>
      </c>
      <c r="F11">
        <v>-10.5</v>
      </c>
      <c r="G11">
        <v>10.5</v>
      </c>
      <c r="H11">
        <v>-118</v>
      </c>
      <c r="I11">
        <v>-102</v>
      </c>
    </row>
    <row r="12" spans="1:9" x14ac:dyDescent="0.2">
      <c r="A12" t="s">
        <v>2191</v>
      </c>
      <c r="B12" t="s">
        <v>2192</v>
      </c>
      <c r="C12" t="s">
        <v>857</v>
      </c>
      <c r="D12" t="s">
        <v>860</v>
      </c>
      <c r="E12" t="s">
        <v>2218</v>
      </c>
      <c r="F12">
        <v>-11</v>
      </c>
      <c r="G12">
        <v>11</v>
      </c>
      <c r="H12">
        <v>-110</v>
      </c>
      <c r="I12">
        <v>-110</v>
      </c>
    </row>
    <row r="13" spans="1:9" x14ac:dyDescent="0.2">
      <c r="A13" t="s">
        <v>2193</v>
      </c>
      <c r="B13" t="s">
        <v>2194</v>
      </c>
      <c r="C13" t="s">
        <v>857</v>
      </c>
      <c r="D13" t="s">
        <v>854</v>
      </c>
      <c r="E13" t="s">
        <v>2213</v>
      </c>
      <c r="F13">
        <v>-6.5</v>
      </c>
      <c r="G13">
        <v>6.5</v>
      </c>
      <c r="H13">
        <v>-120</v>
      </c>
      <c r="I13">
        <v>-102</v>
      </c>
    </row>
    <row r="14" spans="1:9" x14ac:dyDescent="0.2">
      <c r="A14" t="s">
        <v>2193</v>
      </c>
      <c r="B14" t="s">
        <v>2194</v>
      </c>
      <c r="C14" t="s">
        <v>857</v>
      </c>
      <c r="D14" t="s">
        <v>859</v>
      </c>
      <c r="E14" t="s">
        <v>2215</v>
      </c>
      <c r="F14">
        <v>-7.5</v>
      </c>
      <c r="G14">
        <v>7.5</v>
      </c>
      <c r="H14">
        <v>-108</v>
      </c>
      <c r="I14">
        <v>-104</v>
      </c>
    </row>
    <row r="15" spans="1:9" x14ac:dyDescent="0.2">
      <c r="A15" t="s">
        <v>2193</v>
      </c>
      <c r="B15" t="s">
        <v>2194</v>
      </c>
      <c r="C15" t="s">
        <v>857</v>
      </c>
      <c r="D15" t="s">
        <v>858</v>
      </c>
      <c r="E15" t="s">
        <v>2214</v>
      </c>
      <c r="F15">
        <v>-7.5</v>
      </c>
      <c r="G15">
        <v>7.5</v>
      </c>
      <c r="H15">
        <v>-112</v>
      </c>
      <c r="I15">
        <v>-108</v>
      </c>
    </row>
    <row r="16" spans="1:9" x14ac:dyDescent="0.2">
      <c r="A16" t="s">
        <v>2193</v>
      </c>
      <c r="B16" t="s">
        <v>2194</v>
      </c>
      <c r="C16" t="s">
        <v>857</v>
      </c>
      <c r="D16" t="s">
        <v>853</v>
      </c>
      <c r="E16" t="s">
        <v>2216</v>
      </c>
      <c r="F16">
        <v>-7.5</v>
      </c>
      <c r="G16">
        <v>7.5</v>
      </c>
      <c r="H16">
        <v>-110</v>
      </c>
      <c r="I16">
        <v>-110</v>
      </c>
    </row>
    <row r="17" spans="1:9" x14ac:dyDescent="0.2">
      <c r="A17" t="s">
        <v>2193</v>
      </c>
      <c r="B17" t="s">
        <v>2194</v>
      </c>
      <c r="C17" t="s">
        <v>857</v>
      </c>
      <c r="D17" t="s">
        <v>860</v>
      </c>
      <c r="E17" t="s">
        <v>2218</v>
      </c>
      <c r="F17">
        <v>-7.5</v>
      </c>
      <c r="G17">
        <v>7.5</v>
      </c>
      <c r="H17">
        <v>-110</v>
      </c>
      <c r="I17">
        <v>-110</v>
      </c>
    </row>
    <row r="18" spans="1:9" x14ac:dyDescent="0.2">
      <c r="A18" t="s">
        <v>2193</v>
      </c>
      <c r="B18" t="s">
        <v>2194</v>
      </c>
      <c r="C18" t="s">
        <v>857</v>
      </c>
      <c r="D18" t="s">
        <v>852</v>
      </c>
      <c r="E18" t="s">
        <v>2217</v>
      </c>
      <c r="F18">
        <v>-7.5</v>
      </c>
      <c r="G18">
        <v>7.5</v>
      </c>
      <c r="H18">
        <v>-112</v>
      </c>
      <c r="I18">
        <v>-108</v>
      </c>
    </row>
    <row r="19" spans="1:9" x14ac:dyDescent="0.2">
      <c r="A19" t="s">
        <v>2195</v>
      </c>
      <c r="B19" t="s">
        <v>2196</v>
      </c>
      <c r="C19" t="s">
        <v>857</v>
      </c>
      <c r="D19" t="s">
        <v>854</v>
      </c>
      <c r="E19" t="s">
        <v>2213</v>
      </c>
      <c r="F19">
        <v>-9.5</v>
      </c>
      <c r="G19">
        <v>9.5</v>
      </c>
      <c r="H19">
        <v>-110</v>
      </c>
      <c r="I19">
        <v>-110</v>
      </c>
    </row>
    <row r="20" spans="1:9" x14ac:dyDescent="0.2">
      <c r="A20" t="s">
        <v>2195</v>
      </c>
      <c r="B20" t="s">
        <v>2196</v>
      </c>
      <c r="C20" t="s">
        <v>857</v>
      </c>
      <c r="D20" t="s">
        <v>859</v>
      </c>
      <c r="E20" t="s">
        <v>2215</v>
      </c>
      <c r="F20">
        <v>-9.5</v>
      </c>
      <c r="G20">
        <v>9.5</v>
      </c>
      <c r="H20">
        <v>-101</v>
      </c>
      <c r="I20">
        <v>-111</v>
      </c>
    </row>
    <row r="21" spans="1:9" x14ac:dyDescent="0.2">
      <c r="A21" t="s">
        <v>2195</v>
      </c>
      <c r="B21" t="s">
        <v>2196</v>
      </c>
      <c r="C21" t="s">
        <v>857</v>
      </c>
      <c r="D21" t="s">
        <v>858</v>
      </c>
      <c r="E21" t="s">
        <v>2214</v>
      </c>
      <c r="F21">
        <v>-9.5</v>
      </c>
      <c r="G21">
        <v>9.5</v>
      </c>
      <c r="H21">
        <v>-105</v>
      </c>
      <c r="I21">
        <v>-115</v>
      </c>
    </row>
    <row r="22" spans="1:9" x14ac:dyDescent="0.2">
      <c r="A22" t="s">
        <v>2195</v>
      </c>
      <c r="B22" t="s">
        <v>2196</v>
      </c>
      <c r="C22" t="s">
        <v>857</v>
      </c>
      <c r="D22" t="s">
        <v>853</v>
      </c>
      <c r="E22" t="s">
        <v>2216</v>
      </c>
      <c r="F22">
        <v>-9.5</v>
      </c>
      <c r="G22">
        <v>9.5</v>
      </c>
      <c r="H22">
        <v>-105</v>
      </c>
      <c r="I22">
        <v>-115</v>
      </c>
    </row>
    <row r="23" spans="1:9" x14ac:dyDescent="0.2">
      <c r="A23" t="s">
        <v>2195</v>
      </c>
      <c r="B23" t="s">
        <v>2196</v>
      </c>
      <c r="C23" t="s">
        <v>857</v>
      </c>
      <c r="D23" t="s">
        <v>860</v>
      </c>
      <c r="E23" t="s">
        <v>2218</v>
      </c>
      <c r="F23">
        <v>-9.5</v>
      </c>
      <c r="G23">
        <v>9.5</v>
      </c>
      <c r="H23">
        <v>-105</v>
      </c>
      <c r="I23">
        <v>-115</v>
      </c>
    </row>
    <row r="24" spans="1:9" x14ac:dyDescent="0.2">
      <c r="A24" t="s">
        <v>2195</v>
      </c>
      <c r="B24" t="s">
        <v>2196</v>
      </c>
      <c r="C24" t="s">
        <v>857</v>
      </c>
      <c r="D24" t="s">
        <v>852</v>
      </c>
      <c r="E24" t="s">
        <v>2217</v>
      </c>
      <c r="F24">
        <v>-9.5</v>
      </c>
      <c r="G24">
        <v>9.5</v>
      </c>
      <c r="H24">
        <v>-108</v>
      </c>
      <c r="I24">
        <v>-112</v>
      </c>
    </row>
    <row r="25" spans="1:9" x14ac:dyDescent="0.2">
      <c r="A25" t="s">
        <v>2160</v>
      </c>
      <c r="B25" t="s">
        <v>2161</v>
      </c>
      <c r="C25" t="s">
        <v>857</v>
      </c>
      <c r="D25" t="s">
        <v>854</v>
      </c>
      <c r="E25" t="s">
        <v>2213</v>
      </c>
      <c r="F25">
        <v>-6.5</v>
      </c>
      <c r="G25">
        <v>6.5</v>
      </c>
      <c r="H25">
        <v>-120</v>
      </c>
      <c r="I25">
        <v>-102</v>
      </c>
    </row>
    <row r="26" spans="1:9" x14ac:dyDescent="0.2">
      <c r="A26" t="s">
        <v>2160</v>
      </c>
      <c r="B26" t="s">
        <v>2161</v>
      </c>
      <c r="C26" t="s">
        <v>857</v>
      </c>
      <c r="D26" t="s">
        <v>852</v>
      </c>
      <c r="E26" t="s">
        <v>2217</v>
      </c>
      <c r="F26">
        <v>-6.5</v>
      </c>
      <c r="G26">
        <v>6.5</v>
      </c>
      <c r="H26">
        <v>-112</v>
      </c>
      <c r="I26">
        <v>-108</v>
      </c>
    </row>
    <row r="27" spans="1:9" x14ac:dyDescent="0.2">
      <c r="A27" t="s">
        <v>2160</v>
      </c>
      <c r="B27" t="s">
        <v>2161</v>
      </c>
      <c r="C27" t="s">
        <v>857</v>
      </c>
      <c r="D27" t="s">
        <v>858</v>
      </c>
      <c r="E27" t="s">
        <v>2214</v>
      </c>
      <c r="F27">
        <v>-7</v>
      </c>
      <c r="G27">
        <v>7</v>
      </c>
      <c r="H27">
        <v>-106</v>
      </c>
      <c r="I27">
        <v>-114</v>
      </c>
    </row>
    <row r="28" spans="1:9" x14ac:dyDescent="0.2">
      <c r="A28" t="s">
        <v>2160</v>
      </c>
      <c r="B28" t="s">
        <v>2161</v>
      </c>
      <c r="C28" t="s">
        <v>857</v>
      </c>
      <c r="D28" t="s">
        <v>859</v>
      </c>
      <c r="E28" t="s">
        <v>2215</v>
      </c>
      <c r="F28">
        <v>-7</v>
      </c>
      <c r="G28">
        <v>7</v>
      </c>
      <c r="H28">
        <v>-102</v>
      </c>
      <c r="I28">
        <v>-110</v>
      </c>
    </row>
    <row r="29" spans="1:9" x14ac:dyDescent="0.2">
      <c r="A29" t="s">
        <v>2160</v>
      </c>
      <c r="B29" t="s">
        <v>2161</v>
      </c>
      <c r="C29" t="s">
        <v>857</v>
      </c>
      <c r="D29" t="s">
        <v>856</v>
      </c>
      <c r="E29" t="s">
        <v>2219</v>
      </c>
      <c r="F29">
        <v>-6.5</v>
      </c>
      <c r="G29">
        <v>6.5</v>
      </c>
      <c r="H29">
        <v>-118</v>
      </c>
      <c r="I29">
        <v>-106</v>
      </c>
    </row>
    <row r="30" spans="1:9" x14ac:dyDescent="0.2">
      <c r="A30" t="s">
        <v>2160</v>
      </c>
      <c r="B30" t="s">
        <v>2161</v>
      </c>
      <c r="C30" t="s">
        <v>857</v>
      </c>
      <c r="D30" t="s">
        <v>860</v>
      </c>
      <c r="E30" t="s">
        <v>2218</v>
      </c>
      <c r="F30">
        <v>-7</v>
      </c>
      <c r="G30">
        <v>7</v>
      </c>
      <c r="H30">
        <v>-110</v>
      </c>
      <c r="I30">
        <v>-110</v>
      </c>
    </row>
    <row r="31" spans="1:9" x14ac:dyDescent="0.2">
      <c r="A31" t="s">
        <v>2160</v>
      </c>
      <c r="B31" t="s">
        <v>2161</v>
      </c>
      <c r="C31" t="s">
        <v>857</v>
      </c>
      <c r="D31" t="s">
        <v>2148</v>
      </c>
      <c r="E31" t="s">
        <v>2220</v>
      </c>
      <c r="F31">
        <v>-7</v>
      </c>
      <c r="G31">
        <v>7</v>
      </c>
      <c r="H31">
        <v>-110</v>
      </c>
      <c r="I31">
        <v>-110</v>
      </c>
    </row>
    <row r="32" spans="1:9" x14ac:dyDescent="0.2">
      <c r="A32" t="s">
        <v>2160</v>
      </c>
      <c r="B32" t="s">
        <v>2161</v>
      </c>
      <c r="C32" t="s">
        <v>857</v>
      </c>
      <c r="D32" t="s">
        <v>853</v>
      </c>
      <c r="E32" t="s">
        <v>2216</v>
      </c>
      <c r="F32">
        <v>-6.5</v>
      </c>
      <c r="G32">
        <v>6.5</v>
      </c>
      <c r="H32">
        <v>-115</v>
      </c>
      <c r="I32">
        <v>-105</v>
      </c>
    </row>
    <row r="33" spans="1:9" x14ac:dyDescent="0.2">
      <c r="A33" t="s">
        <v>2160</v>
      </c>
      <c r="B33" t="s">
        <v>2161</v>
      </c>
      <c r="C33" t="s">
        <v>857</v>
      </c>
      <c r="D33" t="s">
        <v>855</v>
      </c>
      <c r="E33" t="s">
        <v>2221</v>
      </c>
      <c r="F33">
        <v>-7</v>
      </c>
      <c r="G33">
        <v>7</v>
      </c>
      <c r="H33">
        <v>-110</v>
      </c>
      <c r="I33">
        <v>-110</v>
      </c>
    </row>
    <row r="34" spans="1:9" x14ac:dyDescent="0.2">
      <c r="A34" t="s">
        <v>2164</v>
      </c>
      <c r="B34" t="s">
        <v>2165</v>
      </c>
      <c r="C34" t="s">
        <v>857</v>
      </c>
      <c r="D34" t="s">
        <v>852</v>
      </c>
      <c r="E34" t="s">
        <v>2217</v>
      </c>
      <c r="F34">
        <v>1.5</v>
      </c>
      <c r="G34">
        <v>-1.5</v>
      </c>
      <c r="H34">
        <v>-108</v>
      </c>
      <c r="I34">
        <v>-112</v>
      </c>
    </row>
    <row r="35" spans="1:9" x14ac:dyDescent="0.2">
      <c r="A35" t="s">
        <v>2164</v>
      </c>
      <c r="B35" t="s">
        <v>2165</v>
      </c>
      <c r="C35" t="s">
        <v>857</v>
      </c>
      <c r="D35" t="s">
        <v>854</v>
      </c>
      <c r="E35" t="s">
        <v>2213</v>
      </c>
      <c r="F35">
        <v>1.5</v>
      </c>
      <c r="G35">
        <v>-1.5</v>
      </c>
      <c r="H35">
        <v>-104</v>
      </c>
      <c r="I35">
        <v>-118</v>
      </c>
    </row>
    <row r="36" spans="1:9" x14ac:dyDescent="0.2">
      <c r="A36" t="s">
        <v>2164</v>
      </c>
      <c r="B36" t="s">
        <v>2165</v>
      </c>
      <c r="C36" t="s">
        <v>857</v>
      </c>
      <c r="D36" t="s">
        <v>2148</v>
      </c>
      <c r="E36" t="s">
        <v>2220</v>
      </c>
      <c r="F36">
        <v>1.5</v>
      </c>
      <c r="G36">
        <v>-1.5</v>
      </c>
      <c r="H36">
        <v>-110</v>
      </c>
      <c r="I36">
        <v>-110</v>
      </c>
    </row>
    <row r="37" spans="1:9" x14ac:dyDescent="0.2">
      <c r="A37" t="s">
        <v>2164</v>
      </c>
      <c r="B37" t="s">
        <v>2165</v>
      </c>
      <c r="C37" t="s">
        <v>857</v>
      </c>
      <c r="D37" t="s">
        <v>856</v>
      </c>
      <c r="E37" t="s">
        <v>2219</v>
      </c>
      <c r="F37">
        <v>2.5</v>
      </c>
      <c r="G37">
        <v>-2.5</v>
      </c>
      <c r="H37">
        <v>-118</v>
      </c>
      <c r="I37">
        <v>-106</v>
      </c>
    </row>
    <row r="38" spans="1:9" x14ac:dyDescent="0.2">
      <c r="A38" t="s">
        <v>2164</v>
      </c>
      <c r="B38" t="s">
        <v>2165</v>
      </c>
      <c r="C38" t="s">
        <v>857</v>
      </c>
      <c r="D38" t="s">
        <v>858</v>
      </c>
      <c r="E38" t="s">
        <v>2214</v>
      </c>
      <c r="F38">
        <v>2</v>
      </c>
      <c r="G38">
        <v>-2</v>
      </c>
      <c r="H38">
        <v>-112</v>
      </c>
      <c r="I38">
        <v>-108</v>
      </c>
    </row>
    <row r="39" spans="1:9" x14ac:dyDescent="0.2">
      <c r="A39" t="s">
        <v>2164</v>
      </c>
      <c r="B39" t="s">
        <v>2165</v>
      </c>
      <c r="C39" t="s">
        <v>857</v>
      </c>
      <c r="D39" t="s">
        <v>859</v>
      </c>
      <c r="E39" t="s">
        <v>2215</v>
      </c>
      <c r="F39">
        <v>2</v>
      </c>
      <c r="G39">
        <v>-2</v>
      </c>
      <c r="H39">
        <v>-108</v>
      </c>
      <c r="I39">
        <v>-104</v>
      </c>
    </row>
    <row r="40" spans="1:9" x14ac:dyDescent="0.2">
      <c r="A40" t="s">
        <v>2164</v>
      </c>
      <c r="B40" t="s">
        <v>2165</v>
      </c>
      <c r="C40" t="s">
        <v>857</v>
      </c>
      <c r="D40" t="s">
        <v>853</v>
      </c>
      <c r="E40" t="s">
        <v>2216</v>
      </c>
      <c r="F40">
        <v>1.5</v>
      </c>
      <c r="G40">
        <v>-1.5</v>
      </c>
      <c r="H40">
        <v>-110</v>
      </c>
      <c r="I40">
        <v>-110</v>
      </c>
    </row>
    <row r="41" spans="1:9" x14ac:dyDescent="0.2">
      <c r="A41" t="s">
        <v>2164</v>
      </c>
      <c r="B41" t="s">
        <v>2165</v>
      </c>
      <c r="C41" t="s">
        <v>857</v>
      </c>
      <c r="D41" t="s">
        <v>855</v>
      </c>
      <c r="E41" t="s">
        <v>2221</v>
      </c>
      <c r="F41">
        <v>2</v>
      </c>
      <c r="G41">
        <v>-2</v>
      </c>
      <c r="H41">
        <v>-110</v>
      </c>
      <c r="I41">
        <v>-110</v>
      </c>
    </row>
    <row r="42" spans="1:9" x14ac:dyDescent="0.2">
      <c r="A42" t="s">
        <v>2164</v>
      </c>
      <c r="B42" t="s">
        <v>2165</v>
      </c>
      <c r="C42" t="s">
        <v>857</v>
      </c>
      <c r="D42" t="s">
        <v>860</v>
      </c>
      <c r="E42" t="s">
        <v>2218</v>
      </c>
      <c r="F42">
        <v>1.5</v>
      </c>
      <c r="G42">
        <v>-1.5</v>
      </c>
      <c r="H42">
        <v>-110</v>
      </c>
      <c r="I42">
        <v>-110</v>
      </c>
    </row>
    <row r="43" spans="1:9" x14ac:dyDescent="0.2">
      <c r="A43" t="s">
        <v>2170</v>
      </c>
      <c r="B43" t="s">
        <v>2171</v>
      </c>
      <c r="C43" t="s">
        <v>857</v>
      </c>
      <c r="D43" t="s">
        <v>852</v>
      </c>
      <c r="E43" t="s">
        <v>2217</v>
      </c>
      <c r="F43">
        <v>-7.5</v>
      </c>
      <c r="G43">
        <v>7.5</v>
      </c>
      <c r="H43">
        <v>-118</v>
      </c>
      <c r="I43">
        <v>-102</v>
      </c>
    </row>
    <row r="44" spans="1:9" x14ac:dyDescent="0.2">
      <c r="A44" t="s">
        <v>2170</v>
      </c>
      <c r="B44" t="s">
        <v>2171</v>
      </c>
      <c r="C44" t="s">
        <v>857</v>
      </c>
      <c r="D44" t="s">
        <v>854</v>
      </c>
      <c r="E44" t="s">
        <v>2213</v>
      </c>
      <c r="F44">
        <v>-8.5</v>
      </c>
      <c r="G44">
        <v>8.5</v>
      </c>
      <c r="H44">
        <v>-110</v>
      </c>
      <c r="I44">
        <v>-110</v>
      </c>
    </row>
    <row r="45" spans="1:9" x14ac:dyDescent="0.2">
      <c r="A45" t="s">
        <v>2170</v>
      </c>
      <c r="B45" t="s">
        <v>2171</v>
      </c>
      <c r="C45" t="s">
        <v>857</v>
      </c>
      <c r="D45" t="s">
        <v>859</v>
      </c>
      <c r="E45" t="s">
        <v>2215</v>
      </c>
      <c r="F45">
        <v>-8</v>
      </c>
      <c r="G45">
        <v>8</v>
      </c>
      <c r="H45">
        <v>-108</v>
      </c>
      <c r="I45">
        <v>-104</v>
      </c>
    </row>
    <row r="46" spans="1:9" x14ac:dyDescent="0.2">
      <c r="A46" t="s">
        <v>2170</v>
      </c>
      <c r="B46" t="s">
        <v>2171</v>
      </c>
      <c r="C46" t="s">
        <v>857</v>
      </c>
      <c r="D46" t="s">
        <v>858</v>
      </c>
      <c r="E46" t="s">
        <v>2214</v>
      </c>
      <c r="F46">
        <v>-8</v>
      </c>
      <c r="G46">
        <v>8</v>
      </c>
      <c r="H46">
        <v>-112</v>
      </c>
      <c r="I46">
        <v>-108</v>
      </c>
    </row>
    <row r="47" spans="1:9" x14ac:dyDescent="0.2">
      <c r="A47" t="s">
        <v>2170</v>
      </c>
      <c r="B47" t="s">
        <v>2171</v>
      </c>
      <c r="C47" t="s">
        <v>857</v>
      </c>
      <c r="D47" t="s">
        <v>856</v>
      </c>
      <c r="E47" t="s">
        <v>2219</v>
      </c>
      <c r="F47">
        <v>-8.5</v>
      </c>
      <c r="G47">
        <v>8.5</v>
      </c>
      <c r="H47">
        <v>-114</v>
      </c>
      <c r="I47">
        <v>-109</v>
      </c>
    </row>
    <row r="48" spans="1:9" x14ac:dyDescent="0.2">
      <c r="A48" t="s">
        <v>2170</v>
      </c>
      <c r="B48" t="s">
        <v>2171</v>
      </c>
      <c r="C48" t="s">
        <v>857</v>
      </c>
      <c r="D48" t="s">
        <v>2148</v>
      </c>
      <c r="E48" t="s">
        <v>2220</v>
      </c>
      <c r="F48">
        <v>-8</v>
      </c>
      <c r="G48">
        <v>8</v>
      </c>
      <c r="H48">
        <v>-110</v>
      </c>
      <c r="I48">
        <v>-110</v>
      </c>
    </row>
    <row r="49" spans="1:9" x14ac:dyDescent="0.2">
      <c r="A49" t="s">
        <v>2170</v>
      </c>
      <c r="B49" t="s">
        <v>2171</v>
      </c>
      <c r="C49" t="s">
        <v>857</v>
      </c>
      <c r="D49" t="s">
        <v>855</v>
      </c>
      <c r="E49" t="s">
        <v>2221</v>
      </c>
      <c r="F49">
        <v>-8</v>
      </c>
      <c r="G49">
        <v>8</v>
      </c>
      <c r="H49">
        <v>-110</v>
      </c>
      <c r="I49">
        <v>-110</v>
      </c>
    </row>
    <row r="50" spans="1:9" x14ac:dyDescent="0.2">
      <c r="A50" t="s">
        <v>2170</v>
      </c>
      <c r="B50" t="s">
        <v>2171</v>
      </c>
      <c r="C50" t="s">
        <v>857</v>
      </c>
      <c r="D50" t="s">
        <v>853</v>
      </c>
      <c r="E50" t="s">
        <v>2216</v>
      </c>
      <c r="F50">
        <v>-7.5</v>
      </c>
      <c r="G50">
        <v>7.5</v>
      </c>
      <c r="H50">
        <v>-118</v>
      </c>
      <c r="I50">
        <v>-102</v>
      </c>
    </row>
    <row r="51" spans="1:9" x14ac:dyDescent="0.2">
      <c r="A51" t="s">
        <v>2170</v>
      </c>
      <c r="B51" t="s">
        <v>2171</v>
      </c>
      <c r="C51" t="s">
        <v>857</v>
      </c>
      <c r="D51" t="s">
        <v>860</v>
      </c>
      <c r="E51" t="s">
        <v>2218</v>
      </c>
      <c r="F51">
        <v>-8</v>
      </c>
      <c r="G51">
        <v>8</v>
      </c>
      <c r="H51">
        <v>-110</v>
      </c>
      <c r="I51">
        <v>-110</v>
      </c>
    </row>
    <row r="52" spans="1:9" x14ac:dyDescent="0.2">
      <c r="A52" t="s">
        <v>2159</v>
      </c>
      <c r="B52" t="s">
        <v>2172</v>
      </c>
      <c r="C52" t="s">
        <v>857</v>
      </c>
      <c r="D52" t="s">
        <v>852</v>
      </c>
      <c r="E52" t="s">
        <v>2217</v>
      </c>
      <c r="F52">
        <v>-3.5</v>
      </c>
      <c r="G52">
        <v>3.5</v>
      </c>
      <c r="H52">
        <v>-105</v>
      </c>
      <c r="I52">
        <v>-115</v>
      </c>
    </row>
    <row r="53" spans="1:9" x14ac:dyDescent="0.2">
      <c r="A53" t="s">
        <v>2159</v>
      </c>
      <c r="B53" t="s">
        <v>2172</v>
      </c>
      <c r="C53" t="s">
        <v>857</v>
      </c>
      <c r="D53" t="s">
        <v>858</v>
      </c>
      <c r="E53" t="s">
        <v>2214</v>
      </c>
      <c r="F53">
        <v>-3</v>
      </c>
      <c r="G53">
        <v>3</v>
      </c>
      <c r="H53">
        <v>-116</v>
      </c>
      <c r="I53">
        <v>-104</v>
      </c>
    </row>
    <row r="54" spans="1:9" x14ac:dyDescent="0.2">
      <c r="A54" t="s">
        <v>2159</v>
      </c>
      <c r="B54" t="s">
        <v>2172</v>
      </c>
      <c r="C54" t="s">
        <v>857</v>
      </c>
      <c r="D54" t="s">
        <v>859</v>
      </c>
      <c r="E54" t="s">
        <v>2215</v>
      </c>
      <c r="F54">
        <v>-3</v>
      </c>
      <c r="G54">
        <v>3</v>
      </c>
      <c r="H54">
        <v>-112</v>
      </c>
      <c r="I54">
        <v>100</v>
      </c>
    </row>
    <row r="55" spans="1:9" x14ac:dyDescent="0.2">
      <c r="A55" t="s">
        <v>2159</v>
      </c>
      <c r="B55" t="s">
        <v>2172</v>
      </c>
      <c r="C55" t="s">
        <v>857</v>
      </c>
      <c r="D55" t="s">
        <v>2148</v>
      </c>
      <c r="E55" t="s">
        <v>2220</v>
      </c>
      <c r="F55">
        <v>-3.5</v>
      </c>
      <c r="G55">
        <v>3.5</v>
      </c>
      <c r="H55">
        <v>-110</v>
      </c>
      <c r="I55">
        <v>-110</v>
      </c>
    </row>
    <row r="56" spans="1:9" x14ac:dyDescent="0.2">
      <c r="A56" t="s">
        <v>2159</v>
      </c>
      <c r="B56" t="s">
        <v>2172</v>
      </c>
      <c r="C56" t="s">
        <v>857</v>
      </c>
      <c r="D56" t="s">
        <v>854</v>
      </c>
      <c r="E56" t="s">
        <v>2213</v>
      </c>
      <c r="F56">
        <v>-3.5</v>
      </c>
      <c r="G56">
        <v>3.5</v>
      </c>
      <c r="H56">
        <v>-105</v>
      </c>
      <c r="I56">
        <v>-115</v>
      </c>
    </row>
    <row r="57" spans="1:9" x14ac:dyDescent="0.2">
      <c r="A57" t="s">
        <v>2159</v>
      </c>
      <c r="B57" t="s">
        <v>2172</v>
      </c>
      <c r="C57" t="s">
        <v>857</v>
      </c>
      <c r="D57" t="s">
        <v>856</v>
      </c>
      <c r="E57" t="s">
        <v>2219</v>
      </c>
      <c r="F57">
        <v>-3.5</v>
      </c>
      <c r="G57">
        <v>3.5</v>
      </c>
      <c r="H57">
        <v>-105</v>
      </c>
      <c r="I57">
        <v>-120</v>
      </c>
    </row>
    <row r="58" spans="1:9" x14ac:dyDescent="0.2">
      <c r="A58" t="s">
        <v>2159</v>
      </c>
      <c r="B58" t="s">
        <v>2172</v>
      </c>
      <c r="C58" t="s">
        <v>857</v>
      </c>
      <c r="D58" t="s">
        <v>853</v>
      </c>
      <c r="E58" t="s">
        <v>2216</v>
      </c>
      <c r="F58">
        <v>-3.5</v>
      </c>
      <c r="G58">
        <v>3.5</v>
      </c>
      <c r="H58">
        <v>-105</v>
      </c>
      <c r="I58">
        <v>-115</v>
      </c>
    </row>
    <row r="59" spans="1:9" x14ac:dyDescent="0.2">
      <c r="A59" t="s">
        <v>2159</v>
      </c>
      <c r="B59" t="s">
        <v>2172</v>
      </c>
      <c r="C59" t="s">
        <v>857</v>
      </c>
      <c r="D59" t="s">
        <v>860</v>
      </c>
      <c r="E59" t="s">
        <v>2218</v>
      </c>
      <c r="F59">
        <v>-3.5</v>
      </c>
      <c r="G59">
        <v>3.5</v>
      </c>
      <c r="H59">
        <v>-105</v>
      </c>
      <c r="I59">
        <v>-115</v>
      </c>
    </row>
    <row r="60" spans="1:9" x14ac:dyDescent="0.2">
      <c r="A60" t="s">
        <v>2159</v>
      </c>
      <c r="B60" t="s">
        <v>2172</v>
      </c>
      <c r="C60" t="s">
        <v>857</v>
      </c>
      <c r="D60" t="s">
        <v>855</v>
      </c>
      <c r="E60" t="s">
        <v>2221</v>
      </c>
      <c r="F60">
        <v>-3.5</v>
      </c>
      <c r="G60">
        <v>3.5</v>
      </c>
      <c r="H60">
        <v>-105</v>
      </c>
      <c r="I60">
        <v>-115</v>
      </c>
    </row>
    <row r="61" spans="1:9" x14ac:dyDescent="0.2">
      <c r="A61" t="s">
        <v>2173</v>
      </c>
      <c r="B61" t="s">
        <v>2174</v>
      </c>
      <c r="C61" t="s">
        <v>857</v>
      </c>
      <c r="D61" t="s">
        <v>852</v>
      </c>
      <c r="E61" t="s">
        <v>2217</v>
      </c>
      <c r="F61">
        <v>-6.5</v>
      </c>
      <c r="G61">
        <v>6.5</v>
      </c>
      <c r="H61">
        <v>-112</v>
      </c>
      <c r="I61">
        <v>-108</v>
      </c>
    </row>
    <row r="62" spans="1:9" x14ac:dyDescent="0.2">
      <c r="A62" t="s">
        <v>2173</v>
      </c>
      <c r="B62" t="s">
        <v>2174</v>
      </c>
      <c r="C62" t="s">
        <v>857</v>
      </c>
      <c r="D62" t="s">
        <v>854</v>
      </c>
      <c r="E62" t="s">
        <v>2213</v>
      </c>
      <c r="F62">
        <v>-6.5</v>
      </c>
      <c r="G62">
        <v>6.5</v>
      </c>
      <c r="H62">
        <v>-115</v>
      </c>
      <c r="I62">
        <v>-105</v>
      </c>
    </row>
    <row r="63" spans="1:9" x14ac:dyDescent="0.2">
      <c r="A63" t="s">
        <v>2173</v>
      </c>
      <c r="B63" t="s">
        <v>2174</v>
      </c>
      <c r="C63" t="s">
        <v>857</v>
      </c>
      <c r="D63" t="s">
        <v>858</v>
      </c>
      <c r="E63" t="s">
        <v>2214</v>
      </c>
      <c r="F63">
        <v>-6.5</v>
      </c>
      <c r="G63">
        <v>6.5</v>
      </c>
      <c r="H63">
        <v>-114</v>
      </c>
      <c r="I63">
        <v>-106</v>
      </c>
    </row>
    <row r="64" spans="1:9" x14ac:dyDescent="0.2">
      <c r="A64" t="s">
        <v>2173</v>
      </c>
      <c r="B64" t="s">
        <v>2174</v>
      </c>
      <c r="C64" t="s">
        <v>857</v>
      </c>
      <c r="D64" t="s">
        <v>859</v>
      </c>
      <c r="E64" t="s">
        <v>2215</v>
      </c>
      <c r="F64">
        <v>-6.5</v>
      </c>
      <c r="G64">
        <v>6.5</v>
      </c>
      <c r="H64">
        <v>-110</v>
      </c>
      <c r="I64">
        <v>-102</v>
      </c>
    </row>
    <row r="65" spans="1:9" x14ac:dyDescent="0.2">
      <c r="A65" t="s">
        <v>2173</v>
      </c>
      <c r="B65" t="s">
        <v>2174</v>
      </c>
      <c r="C65" t="s">
        <v>857</v>
      </c>
      <c r="D65" t="s">
        <v>2148</v>
      </c>
      <c r="E65" t="s">
        <v>2220</v>
      </c>
      <c r="F65">
        <v>-6.5</v>
      </c>
      <c r="G65">
        <v>6.5</v>
      </c>
      <c r="H65">
        <v>-110</v>
      </c>
      <c r="I65">
        <v>-110</v>
      </c>
    </row>
    <row r="66" spans="1:9" x14ac:dyDescent="0.2">
      <c r="A66" t="s">
        <v>2173</v>
      </c>
      <c r="B66" t="s">
        <v>2174</v>
      </c>
      <c r="C66" t="s">
        <v>857</v>
      </c>
      <c r="D66" t="s">
        <v>856</v>
      </c>
      <c r="E66" t="s">
        <v>2219</v>
      </c>
      <c r="F66">
        <v>-7.5</v>
      </c>
      <c r="G66">
        <v>7.5</v>
      </c>
      <c r="H66">
        <v>-107</v>
      </c>
      <c r="I66">
        <v>-117</v>
      </c>
    </row>
    <row r="67" spans="1:9" x14ac:dyDescent="0.2">
      <c r="A67" t="s">
        <v>2173</v>
      </c>
      <c r="B67" t="s">
        <v>2174</v>
      </c>
      <c r="C67" t="s">
        <v>857</v>
      </c>
      <c r="D67" t="s">
        <v>855</v>
      </c>
      <c r="E67" t="s">
        <v>2221</v>
      </c>
      <c r="F67">
        <v>-6.5</v>
      </c>
      <c r="G67">
        <v>6.5</v>
      </c>
      <c r="H67">
        <v>-115</v>
      </c>
      <c r="I67">
        <v>-105</v>
      </c>
    </row>
    <row r="68" spans="1:9" x14ac:dyDescent="0.2">
      <c r="A68" t="s">
        <v>2173</v>
      </c>
      <c r="B68" t="s">
        <v>2174</v>
      </c>
      <c r="C68" t="s">
        <v>857</v>
      </c>
      <c r="D68" t="s">
        <v>860</v>
      </c>
      <c r="E68" t="s">
        <v>2218</v>
      </c>
      <c r="F68">
        <v>-6.5</v>
      </c>
      <c r="G68">
        <v>6.5</v>
      </c>
      <c r="H68">
        <v>-115</v>
      </c>
      <c r="I68">
        <v>-105</v>
      </c>
    </row>
    <row r="69" spans="1:9" x14ac:dyDescent="0.2">
      <c r="A69" t="s">
        <v>2179</v>
      </c>
      <c r="B69" t="s">
        <v>2180</v>
      </c>
      <c r="C69" t="s">
        <v>857</v>
      </c>
      <c r="D69" t="s">
        <v>852</v>
      </c>
      <c r="E69" t="s">
        <v>2217</v>
      </c>
      <c r="F69">
        <v>10.5</v>
      </c>
      <c r="G69">
        <v>-10.5</v>
      </c>
      <c r="H69">
        <v>-115</v>
      </c>
      <c r="I69">
        <v>-105</v>
      </c>
    </row>
    <row r="70" spans="1:9" x14ac:dyDescent="0.2">
      <c r="A70" t="s">
        <v>2179</v>
      </c>
      <c r="B70" t="s">
        <v>2180</v>
      </c>
      <c r="C70" t="s">
        <v>857</v>
      </c>
      <c r="D70" t="s">
        <v>854</v>
      </c>
      <c r="E70" t="s">
        <v>2213</v>
      </c>
      <c r="F70">
        <v>10.5</v>
      </c>
      <c r="G70">
        <v>-10.5</v>
      </c>
      <c r="H70">
        <v>-115</v>
      </c>
      <c r="I70">
        <v>-105</v>
      </c>
    </row>
    <row r="71" spans="1:9" x14ac:dyDescent="0.2">
      <c r="A71" t="s">
        <v>2179</v>
      </c>
      <c r="B71" t="s">
        <v>2180</v>
      </c>
      <c r="C71" t="s">
        <v>857</v>
      </c>
      <c r="D71" t="s">
        <v>858</v>
      </c>
      <c r="E71" t="s">
        <v>2214</v>
      </c>
      <c r="F71">
        <v>10</v>
      </c>
      <c r="G71">
        <v>-10</v>
      </c>
      <c r="H71">
        <v>-110</v>
      </c>
      <c r="I71">
        <v>-110</v>
      </c>
    </row>
    <row r="72" spans="1:9" x14ac:dyDescent="0.2">
      <c r="A72" t="s">
        <v>2179</v>
      </c>
      <c r="B72" t="s">
        <v>2180</v>
      </c>
      <c r="C72" t="s">
        <v>857</v>
      </c>
      <c r="D72" t="s">
        <v>859</v>
      </c>
      <c r="E72" t="s">
        <v>2215</v>
      </c>
      <c r="F72">
        <v>10</v>
      </c>
      <c r="G72">
        <v>-10</v>
      </c>
      <c r="H72">
        <v>-106</v>
      </c>
      <c r="I72">
        <v>-106</v>
      </c>
    </row>
    <row r="73" spans="1:9" x14ac:dyDescent="0.2">
      <c r="A73" t="s">
        <v>2179</v>
      </c>
      <c r="B73" t="s">
        <v>2180</v>
      </c>
      <c r="C73" t="s">
        <v>857</v>
      </c>
      <c r="D73" t="s">
        <v>2148</v>
      </c>
      <c r="E73" t="s">
        <v>2220</v>
      </c>
      <c r="F73">
        <v>10.5</v>
      </c>
      <c r="G73">
        <v>-10.5</v>
      </c>
      <c r="H73">
        <v>-110</v>
      </c>
      <c r="I73">
        <v>-110</v>
      </c>
    </row>
    <row r="74" spans="1:9" x14ac:dyDescent="0.2">
      <c r="A74" t="s">
        <v>2179</v>
      </c>
      <c r="B74" t="s">
        <v>2180</v>
      </c>
      <c r="C74" t="s">
        <v>857</v>
      </c>
      <c r="D74" t="s">
        <v>853</v>
      </c>
      <c r="E74" t="s">
        <v>2216</v>
      </c>
      <c r="F74">
        <v>10.5</v>
      </c>
      <c r="G74">
        <v>-10.5</v>
      </c>
      <c r="H74">
        <v>-115</v>
      </c>
      <c r="I74">
        <v>-105</v>
      </c>
    </row>
    <row r="75" spans="1:9" x14ac:dyDescent="0.2">
      <c r="A75" t="s">
        <v>2179</v>
      </c>
      <c r="B75" t="s">
        <v>2180</v>
      </c>
      <c r="C75" t="s">
        <v>857</v>
      </c>
      <c r="D75" t="s">
        <v>856</v>
      </c>
      <c r="E75" t="s">
        <v>2219</v>
      </c>
      <c r="F75">
        <v>9.5</v>
      </c>
      <c r="G75">
        <v>-9.5</v>
      </c>
      <c r="H75">
        <v>-106</v>
      </c>
      <c r="I75">
        <v>-118</v>
      </c>
    </row>
    <row r="76" spans="1:9" x14ac:dyDescent="0.2">
      <c r="A76" t="s">
        <v>2179</v>
      </c>
      <c r="B76" t="s">
        <v>2180</v>
      </c>
      <c r="C76" t="s">
        <v>857</v>
      </c>
      <c r="D76" t="s">
        <v>855</v>
      </c>
      <c r="E76" t="s">
        <v>2221</v>
      </c>
      <c r="F76">
        <v>10</v>
      </c>
      <c r="G76">
        <v>-10</v>
      </c>
      <c r="H76">
        <v>-110</v>
      </c>
      <c r="I76">
        <v>-110</v>
      </c>
    </row>
    <row r="77" spans="1:9" x14ac:dyDescent="0.2">
      <c r="A77" t="s">
        <v>2179</v>
      </c>
      <c r="B77" t="s">
        <v>2180</v>
      </c>
      <c r="C77" t="s">
        <v>857</v>
      </c>
      <c r="D77" t="s">
        <v>860</v>
      </c>
      <c r="E77" t="s">
        <v>2218</v>
      </c>
      <c r="F77">
        <v>10</v>
      </c>
      <c r="G77">
        <v>-10</v>
      </c>
      <c r="H77">
        <v>-110</v>
      </c>
      <c r="I77">
        <v>-110</v>
      </c>
    </row>
    <row r="78" spans="1:9" x14ac:dyDescent="0.2">
      <c r="A78" t="s">
        <v>2183</v>
      </c>
      <c r="B78" t="s">
        <v>2184</v>
      </c>
      <c r="C78" t="s">
        <v>857</v>
      </c>
      <c r="D78" t="s">
        <v>852</v>
      </c>
      <c r="E78" t="s">
        <v>2217</v>
      </c>
      <c r="F78">
        <v>2.5</v>
      </c>
      <c r="G78">
        <v>-2.5</v>
      </c>
      <c r="H78">
        <v>-115</v>
      </c>
      <c r="I78">
        <v>-105</v>
      </c>
    </row>
    <row r="79" spans="1:9" x14ac:dyDescent="0.2">
      <c r="A79" t="s">
        <v>2183</v>
      </c>
      <c r="B79" t="s">
        <v>2184</v>
      </c>
      <c r="C79" t="s">
        <v>857</v>
      </c>
      <c r="D79" t="s">
        <v>854</v>
      </c>
      <c r="E79" t="s">
        <v>2213</v>
      </c>
      <c r="F79">
        <v>1.5</v>
      </c>
      <c r="G79">
        <v>-1.5</v>
      </c>
      <c r="H79">
        <v>-104</v>
      </c>
      <c r="I79">
        <v>-118</v>
      </c>
    </row>
    <row r="80" spans="1:9" x14ac:dyDescent="0.2">
      <c r="A80" t="s">
        <v>2183</v>
      </c>
      <c r="B80" t="s">
        <v>2184</v>
      </c>
      <c r="C80" t="s">
        <v>857</v>
      </c>
      <c r="D80" t="s">
        <v>859</v>
      </c>
      <c r="E80" t="s">
        <v>2215</v>
      </c>
      <c r="F80">
        <v>2</v>
      </c>
      <c r="G80">
        <v>-2</v>
      </c>
      <c r="H80">
        <v>-106</v>
      </c>
      <c r="I80">
        <v>-106</v>
      </c>
    </row>
    <row r="81" spans="1:9" x14ac:dyDescent="0.2">
      <c r="A81" t="s">
        <v>2183</v>
      </c>
      <c r="B81" t="s">
        <v>2184</v>
      </c>
      <c r="C81" t="s">
        <v>857</v>
      </c>
      <c r="D81" t="s">
        <v>858</v>
      </c>
      <c r="E81" t="s">
        <v>2214</v>
      </c>
      <c r="F81">
        <v>2</v>
      </c>
      <c r="G81">
        <v>-2</v>
      </c>
      <c r="H81">
        <v>-110</v>
      </c>
      <c r="I81">
        <v>-110</v>
      </c>
    </row>
    <row r="82" spans="1:9" x14ac:dyDescent="0.2">
      <c r="A82" t="s">
        <v>2183</v>
      </c>
      <c r="B82" t="s">
        <v>2184</v>
      </c>
      <c r="C82" t="s">
        <v>857</v>
      </c>
      <c r="D82" t="s">
        <v>853</v>
      </c>
      <c r="E82" t="s">
        <v>2216</v>
      </c>
      <c r="F82">
        <v>1.5</v>
      </c>
      <c r="G82">
        <v>-1.5</v>
      </c>
      <c r="H82">
        <v>-102</v>
      </c>
      <c r="I82">
        <v>-118</v>
      </c>
    </row>
    <row r="83" spans="1:9" x14ac:dyDescent="0.2">
      <c r="A83" t="s">
        <v>2183</v>
      </c>
      <c r="B83" t="s">
        <v>2184</v>
      </c>
      <c r="C83" t="s">
        <v>857</v>
      </c>
      <c r="D83" t="s">
        <v>856</v>
      </c>
      <c r="E83" t="s">
        <v>2219</v>
      </c>
      <c r="F83">
        <v>2.5</v>
      </c>
      <c r="G83">
        <v>-2.5</v>
      </c>
      <c r="H83">
        <v>-114</v>
      </c>
      <c r="I83">
        <v>-109</v>
      </c>
    </row>
    <row r="84" spans="1:9" x14ac:dyDescent="0.2">
      <c r="A84" t="s">
        <v>2183</v>
      </c>
      <c r="B84" t="s">
        <v>2184</v>
      </c>
      <c r="C84" t="s">
        <v>857</v>
      </c>
      <c r="D84" t="s">
        <v>2148</v>
      </c>
      <c r="E84" t="s">
        <v>2220</v>
      </c>
      <c r="F84">
        <v>2</v>
      </c>
      <c r="G84">
        <v>-2</v>
      </c>
      <c r="H84">
        <v>-110</v>
      </c>
      <c r="I84">
        <v>-110</v>
      </c>
    </row>
    <row r="85" spans="1:9" x14ac:dyDescent="0.2">
      <c r="A85" t="s">
        <v>2183</v>
      </c>
      <c r="B85" t="s">
        <v>2184</v>
      </c>
      <c r="C85" t="s">
        <v>857</v>
      </c>
      <c r="D85" t="s">
        <v>855</v>
      </c>
      <c r="E85" t="s">
        <v>2221</v>
      </c>
      <c r="F85">
        <v>2.5</v>
      </c>
      <c r="G85">
        <v>-2.5</v>
      </c>
      <c r="H85">
        <v>-115</v>
      </c>
      <c r="I85">
        <v>-105</v>
      </c>
    </row>
    <row r="86" spans="1:9" x14ac:dyDescent="0.2">
      <c r="A86" t="s">
        <v>2183</v>
      </c>
      <c r="B86" t="s">
        <v>2184</v>
      </c>
      <c r="C86" t="s">
        <v>857</v>
      </c>
      <c r="D86" t="s">
        <v>860</v>
      </c>
      <c r="E86" t="s">
        <v>2218</v>
      </c>
      <c r="F86">
        <v>2</v>
      </c>
      <c r="G86">
        <v>-2</v>
      </c>
      <c r="H86">
        <v>-110</v>
      </c>
      <c r="I86">
        <v>-110</v>
      </c>
    </row>
    <row r="87" spans="1:9" x14ac:dyDescent="0.2">
      <c r="A87" t="s">
        <v>2185</v>
      </c>
      <c r="B87" t="s">
        <v>2186</v>
      </c>
      <c r="C87" t="s">
        <v>857</v>
      </c>
      <c r="D87" t="s">
        <v>852</v>
      </c>
      <c r="E87" t="s">
        <v>2217</v>
      </c>
      <c r="F87">
        <v>-4.5</v>
      </c>
      <c r="G87">
        <v>4.5</v>
      </c>
      <c r="H87">
        <v>-105</v>
      </c>
      <c r="I87">
        <v>-115</v>
      </c>
    </row>
    <row r="88" spans="1:9" x14ac:dyDescent="0.2">
      <c r="A88" t="s">
        <v>2185</v>
      </c>
      <c r="B88" t="s">
        <v>2186</v>
      </c>
      <c r="C88" t="s">
        <v>857</v>
      </c>
      <c r="D88" t="s">
        <v>854</v>
      </c>
      <c r="E88" t="s">
        <v>2213</v>
      </c>
      <c r="F88">
        <v>-4.5</v>
      </c>
      <c r="G88">
        <v>4.5</v>
      </c>
      <c r="H88">
        <v>-104</v>
      </c>
      <c r="I88">
        <v>-118</v>
      </c>
    </row>
    <row r="89" spans="1:9" x14ac:dyDescent="0.2">
      <c r="A89" t="s">
        <v>2185</v>
      </c>
      <c r="B89" t="s">
        <v>2186</v>
      </c>
      <c r="C89" t="s">
        <v>857</v>
      </c>
      <c r="D89" t="s">
        <v>858</v>
      </c>
      <c r="E89" t="s">
        <v>2214</v>
      </c>
      <c r="F89">
        <v>-4</v>
      </c>
      <c r="G89">
        <v>4</v>
      </c>
      <c r="H89">
        <v>-114</v>
      </c>
      <c r="I89">
        <v>-106</v>
      </c>
    </row>
    <row r="90" spans="1:9" x14ac:dyDescent="0.2">
      <c r="A90" t="s">
        <v>2185</v>
      </c>
      <c r="B90" t="s">
        <v>2186</v>
      </c>
      <c r="C90" t="s">
        <v>857</v>
      </c>
      <c r="D90" t="s">
        <v>859</v>
      </c>
      <c r="E90" t="s">
        <v>2215</v>
      </c>
      <c r="F90">
        <v>-4</v>
      </c>
      <c r="G90">
        <v>4</v>
      </c>
      <c r="H90">
        <v>-110</v>
      </c>
      <c r="I90">
        <v>-102</v>
      </c>
    </row>
    <row r="91" spans="1:9" x14ac:dyDescent="0.2">
      <c r="A91" t="s">
        <v>2185</v>
      </c>
      <c r="B91" t="s">
        <v>2186</v>
      </c>
      <c r="C91" t="s">
        <v>857</v>
      </c>
      <c r="D91" t="s">
        <v>853</v>
      </c>
      <c r="E91" t="s">
        <v>2216</v>
      </c>
      <c r="F91">
        <v>-4.5</v>
      </c>
      <c r="G91">
        <v>4.5</v>
      </c>
      <c r="H91">
        <v>-105</v>
      </c>
      <c r="I91">
        <v>-115</v>
      </c>
    </row>
    <row r="92" spans="1:9" x14ac:dyDescent="0.2">
      <c r="A92" t="s">
        <v>2185</v>
      </c>
      <c r="B92" t="s">
        <v>2186</v>
      </c>
      <c r="C92" t="s">
        <v>857</v>
      </c>
      <c r="D92" t="s">
        <v>856</v>
      </c>
      <c r="E92" t="s">
        <v>2219</v>
      </c>
      <c r="F92">
        <v>-4.5</v>
      </c>
      <c r="G92">
        <v>4.5</v>
      </c>
      <c r="H92">
        <v>-106</v>
      </c>
      <c r="I92">
        <v>-118</v>
      </c>
    </row>
    <row r="93" spans="1:9" x14ac:dyDescent="0.2">
      <c r="A93" t="s">
        <v>2185</v>
      </c>
      <c r="B93" t="s">
        <v>2186</v>
      </c>
      <c r="C93" t="s">
        <v>857</v>
      </c>
      <c r="D93" t="s">
        <v>2148</v>
      </c>
      <c r="E93" t="s">
        <v>2220</v>
      </c>
      <c r="F93">
        <v>-4.5</v>
      </c>
      <c r="G93">
        <v>4.5</v>
      </c>
      <c r="H93">
        <v>-110</v>
      </c>
      <c r="I93">
        <v>-110</v>
      </c>
    </row>
    <row r="94" spans="1:9" x14ac:dyDescent="0.2">
      <c r="A94" t="s">
        <v>2185</v>
      </c>
      <c r="B94" t="s">
        <v>2186</v>
      </c>
      <c r="C94" t="s">
        <v>857</v>
      </c>
      <c r="D94" t="s">
        <v>855</v>
      </c>
      <c r="E94" t="s">
        <v>2221</v>
      </c>
      <c r="F94">
        <v>-4</v>
      </c>
      <c r="G94">
        <v>4</v>
      </c>
      <c r="H94">
        <v>-110</v>
      </c>
      <c r="I94">
        <v>-110</v>
      </c>
    </row>
    <row r="95" spans="1:9" x14ac:dyDescent="0.2">
      <c r="A95" t="s">
        <v>2185</v>
      </c>
      <c r="B95" t="s">
        <v>2186</v>
      </c>
      <c r="C95" t="s">
        <v>857</v>
      </c>
      <c r="D95" t="s">
        <v>860</v>
      </c>
      <c r="E95" t="s">
        <v>2218</v>
      </c>
      <c r="F95">
        <v>-4.5</v>
      </c>
      <c r="G95">
        <v>4.5</v>
      </c>
      <c r="H95">
        <v>-110</v>
      </c>
      <c r="I95">
        <v>-110</v>
      </c>
    </row>
    <row r="96" spans="1:9" x14ac:dyDescent="0.2">
      <c r="A96" t="s">
        <v>2222</v>
      </c>
      <c r="B96" t="s">
        <v>2223</v>
      </c>
      <c r="C96" t="s">
        <v>857</v>
      </c>
      <c r="D96" t="s">
        <v>858</v>
      </c>
      <c r="E96" t="s">
        <v>2214</v>
      </c>
      <c r="F96">
        <v>6</v>
      </c>
      <c r="G96">
        <v>-6</v>
      </c>
      <c r="H96">
        <v>-105</v>
      </c>
      <c r="I96">
        <v>-115</v>
      </c>
    </row>
    <row r="97" spans="1:9" x14ac:dyDescent="0.2">
      <c r="A97" t="s">
        <v>2222</v>
      </c>
      <c r="B97" t="s">
        <v>2223</v>
      </c>
      <c r="C97" t="s">
        <v>857</v>
      </c>
      <c r="D97" t="s">
        <v>859</v>
      </c>
      <c r="E97" t="s">
        <v>2215</v>
      </c>
      <c r="F97">
        <v>6</v>
      </c>
      <c r="G97">
        <v>-6</v>
      </c>
      <c r="H97">
        <v>-101</v>
      </c>
      <c r="I97">
        <v>-111</v>
      </c>
    </row>
    <row r="98" spans="1:9" x14ac:dyDescent="0.2">
      <c r="A98" t="s">
        <v>2224</v>
      </c>
      <c r="B98" t="s">
        <v>2225</v>
      </c>
      <c r="C98" t="s">
        <v>857</v>
      </c>
      <c r="D98" t="s">
        <v>858</v>
      </c>
      <c r="E98" t="s">
        <v>2214</v>
      </c>
      <c r="F98">
        <v>-3.5</v>
      </c>
      <c r="G98">
        <v>3.5</v>
      </c>
      <c r="H98">
        <v>-110</v>
      </c>
      <c r="I98">
        <v>-110</v>
      </c>
    </row>
    <row r="99" spans="1:9" x14ac:dyDescent="0.2">
      <c r="A99" t="s">
        <v>2224</v>
      </c>
      <c r="B99" t="s">
        <v>2225</v>
      </c>
      <c r="C99" t="s">
        <v>857</v>
      </c>
      <c r="D99" t="s">
        <v>859</v>
      </c>
      <c r="E99" t="s">
        <v>2215</v>
      </c>
      <c r="F99">
        <v>-3.5</v>
      </c>
      <c r="G99">
        <v>3.5</v>
      </c>
      <c r="H99">
        <v>-106</v>
      </c>
      <c r="I99">
        <v>-106</v>
      </c>
    </row>
    <row r="100" spans="1:9" x14ac:dyDescent="0.2">
      <c r="A100" t="s">
        <v>2226</v>
      </c>
      <c r="B100" t="s">
        <v>2227</v>
      </c>
      <c r="C100" t="s">
        <v>857</v>
      </c>
      <c r="D100" t="s">
        <v>858</v>
      </c>
      <c r="E100" t="s">
        <v>2214</v>
      </c>
      <c r="F100">
        <v>0</v>
      </c>
      <c r="G100">
        <v>0</v>
      </c>
      <c r="H100">
        <v>-110</v>
      </c>
      <c r="I100">
        <v>-110</v>
      </c>
    </row>
    <row r="101" spans="1:9" x14ac:dyDescent="0.2">
      <c r="A101" t="s">
        <v>2226</v>
      </c>
      <c r="B101" t="s">
        <v>2227</v>
      </c>
      <c r="C101" t="s">
        <v>857</v>
      </c>
      <c r="D101" t="s">
        <v>859</v>
      </c>
      <c r="E101" t="s">
        <v>2215</v>
      </c>
      <c r="F101">
        <v>0</v>
      </c>
      <c r="G101">
        <v>0</v>
      </c>
      <c r="H101">
        <v>-106</v>
      </c>
      <c r="I101">
        <v>-106</v>
      </c>
    </row>
    <row r="102" spans="1:9" x14ac:dyDescent="0.2">
      <c r="A102" t="s">
        <v>2228</v>
      </c>
      <c r="B102" t="s">
        <v>2229</v>
      </c>
      <c r="C102" t="s">
        <v>857</v>
      </c>
      <c r="D102" t="s">
        <v>858</v>
      </c>
      <c r="E102" t="s">
        <v>2214</v>
      </c>
      <c r="F102">
        <v>-2.5</v>
      </c>
      <c r="G102">
        <v>2.5</v>
      </c>
      <c r="H102">
        <v>-110</v>
      </c>
      <c r="I102">
        <v>-110</v>
      </c>
    </row>
    <row r="103" spans="1:9" x14ac:dyDescent="0.2">
      <c r="A103" t="s">
        <v>2228</v>
      </c>
      <c r="B103" t="s">
        <v>2229</v>
      </c>
      <c r="C103" t="s">
        <v>857</v>
      </c>
      <c r="D103" t="s">
        <v>859</v>
      </c>
      <c r="E103" t="s">
        <v>2215</v>
      </c>
      <c r="F103">
        <v>-2.5</v>
      </c>
      <c r="G103">
        <v>2.5</v>
      </c>
      <c r="H103">
        <v>-106</v>
      </c>
      <c r="I103">
        <v>-106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L22"/>
  <sheetViews>
    <sheetView showGridLines="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16" customWidth="1"/>
  </cols>
  <sheetData>
    <row r="1" spans="1:12" x14ac:dyDescent="0.2">
      <c r="A1" s="11" t="s">
        <v>764</v>
      </c>
      <c r="B1" s="11" t="s">
        <v>765</v>
      </c>
      <c r="C1" s="11" t="s">
        <v>766</v>
      </c>
      <c r="D1" s="11" t="s">
        <v>767</v>
      </c>
      <c r="E1" s="11" t="s">
        <v>861</v>
      </c>
      <c r="F1" s="11" t="s">
        <v>862</v>
      </c>
      <c r="G1" s="11" t="s">
        <v>863</v>
      </c>
      <c r="H1" s="11" t="s">
        <v>864</v>
      </c>
      <c r="I1" s="11" t="s">
        <v>865</v>
      </c>
      <c r="J1" s="11" t="s">
        <v>866</v>
      </c>
      <c r="K1" s="11" t="s">
        <v>867</v>
      </c>
      <c r="L1" s="11" t="s">
        <v>868</v>
      </c>
    </row>
    <row r="2" spans="1:12" x14ac:dyDescent="0.2">
      <c r="A2" t="s">
        <v>869</v>
      </c>
      <c r="B2" t="s">
        <v>479</v>
      </c>
      <c r="C2" t="s">
        <v>351</v>
      </c>
      <c r="D2" t="s">
        <v>870</v>
      </c>
      <c r="E2" s="5">
        <v>5.5</v>
      </c>
      <c r="F2" s="5">
        <v>149.5</v>
      </c>
      <c r="G2">
        <v>1.11889811626495E-2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">
      <c r="A3" t="s">
        <v>869</v>
      </c>
      <c r="B3" t="s">
        <v>671</v>
      </c>
      <c r="C3" t="s">
        <v>135</v>
      </c>
      <c r="D3" t="s">
        <v>870</v>
      </c>
      <c r="E3" s="5">
        <v>-12.5</v>
      </c>
      <c r="F3" s="5">
        <v>137.5</v>
      </c>
      <c r="G3">
        <v>1.5802341977460801E-2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2">
      <c r="A4" t="s">
        <v>869</v>
      </c>
      <c r="B4" t="s">
        <v>677</v>
      </c>
      <c r="C4" t="s">
        <v>27</v>
      </c>
      <c r="D4" t="s">
        <v>870</v>
      </c>
      <c r="E4" s="5">
        <v>0.5</v>
      </c>
      <c r="F4" s="5">
        <v>167.5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2">
      <c r="A5" t="s">
        <v>869</v>
      </c>
      <c r="B5" t="s">
        <v>709</v>
      </c>
      <c r="C5" t="s">
        <v>549</v>
      </c>
      <c r="D5" t="s">
        <v>870</v>
      </c>
      <c r="E5" s="5">
        <v>6</v>
      </c>
      <c r="F5" s="5">
        <v>150.5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x14ac:dyDescent="0.2">
      <c r="E6" s="5"/>
      <c r="F6" s="5"/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 x14ac:dyDescent="0.2">
      <c r="E7" s="5"/>
      <c r="F7" s="5"/>
      <c r="G7">
        <v>1.8696120220249499E-2</v>
      </c>
      <c r="H7">
        <v>0</v>
      </c>
      <c r="I7">
        <v>0</v>
      </c>
      <c r="J7">
        <v>0</v>
      </c>
      <c r="K7">
        <v>0</v>
      </c>
      <c r="L7">
        <v>0</v>
      </c>
    </row>
    <row r="8" spans="1:12" x14ac:dyDescent="0.2">
      <c r="E8" s="5"/>
      <c r="F8" s="5"/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 x14ac:dyDescent="0.2">
      <c r="E9" s="5"/>
      <c r="F9" s="5"/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 x14ac:dyDescent="0.2">
      <c r="E10" s="5"/>
      <c r="F10" s="5"/>
      <c r="G10">
        <v>4.4053018685867799E-2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2">
      <c r="E11" s="5"/>
      <c r="F11" s="5"/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2">
      <c r="E12" s="5"/>
      <c r="F12" s="5"/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2">
      <c r="E13" s="5"/>
      <c r="F13" s="5"/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 x14ac:dyDescent="0.2">
      <c r="E14" s="5"/>
      <c r="F14" s="5"/>
      <c r="G14">
        <v>2.8275946977469602E-2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 x14ac:dyDescent="0.2">
      <c r="E15" s="5"/>
      <c r="F15" s="5"/>
      <c r="G15">
        <v>2.4331725391145E-2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1:12" x14ac:dyDescent="0.2">
      <c r="E16" s="5"/>
      <c r="F16" s="5"/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5:12" x14ac:dyDescent="0.2">
      <c r="E17" s="5"/>
      <c r="F17" s="5"/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5:12" x14ac:dyDescent="0.2">
      <c r="E18" s="5"/>
      <c r="F18" s="5"/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5:12" x14ac:dyDescent="0.2">
      <c r="E19" s="5"/>
      <c r="F19" s="5"/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5:12" x14ac:dyDescent="0.2">
      <c r="E20" s="5"/>
      <c r="F20" s="5"/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5:12" x14ac:dyDescent="0.2">
      <c r="E21" s="5"/>
      <c r="F21" s="5"/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5:12" x14ac:dyDescent="0.2">
      <c r="E22" s="5"/>
      <c r="F22" s="5"/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I366"/>
  <sheetViews>
    <sheetView showGridLines="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16" customWidth="1"/>
  </cols>
  <sheetData>
    <row r="1" spans="1:9" x14ac:dyDescent="0.2">
      <c r="A1" s="11" t="s">
        <v>871</v>
      </c>
      <c r="B1" s="11" t="s">
        <v>872</v>
      </c>
      <c r="C1" s="11" t="s">
        <v>873</v>
      </c>
      <c r="D1" s="11" t="s">
        <v>874</v>
      </c>
      <c r="E1" s="11" t="s">
        <v>875</v>
      </c>
      <c r="F1" s="11" t="s">
        <v>876</v>
      </c>
      <c r="G1" s="11" t="s">
        <v>877</v>
      </c>
      <c r="H1" s="11" t="s">
        <v>878</v>
      </c>
      <c r="I1" s="11" t="s">
        <v>879</v>
      </c>
    </row>
    <row r="2" spans="1:9" x14ac:dyDescent="0.2">
      <c r="A2" t="s">
        <v>151</v>
      </c>
      <c r="B2" t="s">
        <v>880</v>
      </c>
      <c r="C2" t="s">
        <v>881</v>
      </c>
      <c r="E2">
        <v>128.08099999999999</v>
      </c>
      <c r="F2">
        <v>88.742500000000007</v>
      </c>
      <c r="G2">
        <v>65.315100000000001</v>
      </c>
      <c r="H2">
        <v>13.678900000000001</v>
      </c>
      <c r="I2">
        <v>39.338499999999982</v>
      </c>
    </row>
    <row r="3" spans="1:9" x14ac:dyDescent="0.2">
      <c r="A3" t="s">
        <v>351</v>
      </c>
      <c r="B3" t="s">
        <v>882</v>
      </c>
      <c r="C3" t="s">
        <v>883</v>
      </c>
      <c r="E3">
        <v>128.41900000000001</v>
      </c>
      <c r="F3">
        <v>89.158000000000001</v>
      </c>
      <c r="G3">
        <v>71.498000000000005</v>
      </c>
      <c r="H3">
        <v>15.5898</v>
      </c>
      <c r="I3">
        <v>39.26100000000001</v>
      </c>
    </row>
    <row r="4" spans="1:9" x14ac:dyDescent="0.2">
      <c r="A4" t="s">
        <v>25</v>
      </c>
      <c r="B4" t="s">
        <v>884</v>
      </c>
      <c r="C4" t="s">
        <v>885</v>
      </c>
      <c r="E4">
        <v>126.624</v>
      </c>
      <c r="F4">
        <v>88.888900000000007</v>
      </c>
      <c r="G4">
        <v>69.910300000000007</v>
      </c>
      <c r="H4">
        <v>13.8009</v>
      </c>
      <c r="I4">
        <v>37.735099999999989</v>
      </c>
    </row>
    <row r="5" spans="1:9" x14ac:dyDescent="0.2">
      <c r="A5" t="s">
        <v>183</v>
      </c>
      <c r="B5" t="s">
        <v>886</v>
      </c>
      <c r="C5" t="s">
        <v>887</v>
      </c>
      <c r="E5">
        <v>126.452</v>
      </c>
      <c r="F5">
        <v>91.101699999999994</v>
      </c>
      <c r="G5">
        <v>70.837000000000003</v>
      </c>
      <c r="H5">
        <v>15.327199999999999</v>
      </c>
      <c r="I5">
        <v>35.350299999999997</v>
      </c>
    </row>
    <row r="6" spans="1:9" x14ac:dyDescent="0.2">
      <c r="A6" t="s">
        <v>243</v>
      </c>
      <c r="B6" t="s">
        <v>888</v>
      </c>
      <c r="C6" t="s">
        <v>883</v>
      </c>
      <c r="E6">
        <v>131.684</v>
      </c>
      <c r="F6">
        <v>98.940200000000004</v>
      </c>
      <c r="G6">
        <v>65.498400000000004</v>
      </c>
      <c r="H6">
        <v>13.2356</v>
      </c>
      <c r="I6">
        <v>32.743799999999993</v>
      </c>
    </row>
    <row r="7" spans="1:9" x14ac:dyDescent="0.2">
      <c r="A7" t="s">
        <v>233</v>
      </c>
      <c r="B7" t="s">
        <v>889</v>
      </c>
      <c r="C7" t="s">
        <v>885</v>
      </c>
      <c r="E7">
        <v>124.505</v>
      </c>
      <c r="F7">
        <v>91.996200000000002</v>
      </c>
      <c r="G7">
        <v>63.466000000000001</v>
      </c>
      <c r="H7">
        <v>12.3786</v>
      </c>
      <c r="I7">
        <v>32.508799999999987</v>
      </c>
    </row>
    <row r="8" spans="1:9" x14ac:dyDescent="0.2">
      <c r="A8" t="s">
        <v>259</v>
      </c>
      <c r="B8" t="s">
        <v>890</v>
      </c>
      <c r="C8" t="s">
        <v>885</v>
      </c>
      <c r="E8">
        <v>123.184</v>
      </c>
      <c r="F8">
        <v>90.929299999999998</v>
      </c>
      <c r="G8">
        <v>66.672600000000003</v>
      </c>
      <c r="H8">
        <v>11.595599999999999</v>
      </c>
      <c r="I8">
        <v>32.2547</v>
      </c>
    </row>
    <row r="9" spans="1:9" x14ac:dyDescent="0.2">
      <c r="A9" t="s">
        <v>479</v>
      </c>
      <c r="B9" t="s">
        <v>891</v>
      </c>
      <c r="C9" t="s">
        <v>883</v>
      </c>
      <c r="E9">
        <v>130.88</v>
      </c>
      <c r="F9">
        <v>101.30800000000001</v>
      </c>
      <c r="G9">
        <v>64.792199999999994</v>
      </c>
      <c r="H9">
        <v>14.540800000000001</v>
      </c>
      <c r="I9">
        <v>29.571999999999989</v>
      </c>
    </row>
    <row r="10" spans="1:9" x14ac:dyDescent="0.2">
      <c r="A10" t="s">
        <v>349</v>
      </c>
      <c r="B10" t="s">
        <v>892</v>
      </c>
      <c r="C10" t="s">
        <v>883</v>
      </c>
      <c r="E10">
        <v>122.672</v>
      </c>
      <c r="F10">
        <v>93.787700000000001</v>
      </c>
      <c r="G10">
        <v>65.886099999999999</v>
      </c>
      <c r="H10">
        <v>13.3179</v>
      </c>
      <c r="I10">
        <v>28.8843</v>
      </c>
    </row>
    <row r="11" spans="1:9" x14ac:dyDescent="0.2">
      <c r="A11" t="s">
        <v>123</v>
      </c>
      <c r="B11" t="s">
        <v>893</v>
      </c>
      <c r="C11" t="s">
        <v>894</v>
      </c>
      <c r="E11">
        <v>123.389</v>
      </c>
      <c r="F11">
        <v>94.578599999999994</v>
      </c>
      <c r="G11">
        <v>64.734499999999997</v>
      </c>
      <c r="H11">
        <v>11.4703</v>
      </c>
      <c r="I11">
        <v>28.810400000000001</v>
      </c>
    </row>
    <row r="12" spans="1:9" x14ac:dyDescent="0.2">
      <c r="A12" t="s">
        <v>211</v>
      </c>
      <c r="B12" t="s">
        <v>895</v>
      </c>
      <c r="C12" t="s">
        <v>896</v>
      </c>
      <c r="E12">
        <v>122.181</v>
      </c>
      <c r="F12">
        <v>93.944000000000003</v>
      </c>
      <c r="G12">
        <v>68.613500000000002</v>
      </c>
      <c r="H12">
        <v>5.8917000000000002</v>
      </c>
      <c r="I12">
        <v>28.236999999999991</v>
      </c>
    </row>
    <row r="13" spans="1:9" x14ac:dyDescent="0.2">
      <c r="A13" t="s">
        <v>385</v>
      </c>
      <c r="B13" t="s">
        <v>897</v>
      </c>
      <c r="C13" t="s">
        <v>883</v>
      </c>
      <c r="E13">
        <v>119.242</v>
      </c>
      <c r="F13">
        <v>92.24</v>
      </c>
      <c r="G13">
        <v>66.867500000000007</v>
      </c>
      <c r="H13">
        <v>10.782299999999999</v>
      </c>
      <c r="I13">
        <v>27.00200000000001</v>
      </c>
    </row>
    <row r="14" spans="1:9" x14ac:dyDescent="0.2">
      <c r="A14" t="s">
        <v>677</v>
      </c>
      <c r="B14" t="s">
        <v>898</v>
      </c>
      <c r="C14" t="s">
        <v>887</v>
      </c>
      <c r="E14">
        <v>125.63500000000001</v>
      </c>
      <c r="F14">
        <v>99.177099999999996</v>
      </c>
      <c r="G14">
        <v>69.460800000000006</v>
      </c>
      <c r="H14">
        <v>12.942</v>
      </c>
      <c r="I14">
        <v>26.457900000000009</v>
      </c>
    </row>
    <row r="15" spans="1:9" x14ac:dyDescent="0.2">
      <c r="A15" t="s">
        <v>595</v>
      </c>
      <c r="B15" t="s">
        <v>899</v>
      </c>
      <c r="C15" t="s">
        <v>887</v>
      </c>
      <c r="E15">
        <v>121.249</v>
      </c>
      <c r="F15">
        <v>94.826899999999995</v>
      </c>
      <c r="G15">
        <v>65.138099999999994</v>
      </c>
      <c r="H15">
        <v>14.207000000000001</v>
      </c>
      <c r="I15">
        <v>26.4221</v>
      </c>
    </row>
    <row r="16" spans="1:9" x14ac:dyDescent="0.2">
      <c r="A16" t="s">
        <v>11</v>
      </c>
      <c r="B16" t="s">
        <v>900</v>
      </c>
      <c r="C16" t="s">
        <v>887</v>
      </c>
      <c r="E16">
        <v>129.74100000000001</v>
      </c>
      <c r="F16">
        <v>103.55200000000001</v>
      </c>
      <c r="G16">
        <v>73.001300000000001</v>
      </c>
      <c r="H16">
        <v>16.711200000000002</v>
      </c>
      <c r="I16">
        <v>26.189000000000011</v>
      </c>
    </row>
    <row r="17" spans="1:9" x14ac:dyDescent="0.2">
      <c r="A17" t="s">
        <v>27</v>
      </c>
      <c r="B17" t="s">
        <v>901</v>
      </c>
      <c r="C17" t="s">
        <v>887</v>
      </c>
      <c r="E17">
        <v>127.95699999999999</v>
      </c>
      <c r="F17">
        <v>102.09</v>
      </c>
      <c r="G17">
        <v>71.138000000000005</v>
      </c>
      <c r="H17">
        <v>14.2995</v>
      </c>
      <c r="I17">
        <v>25.86699999999999</v>
      </c>
    </row>
    <row r="18" spans="1:9" x14ac:dyDescent="0.2">
      <c r="A18" t="s">
        <v>311</v>
      </c>
      <c r="B18" t="s">
        <v>902</v>
      </c>
      <c r="C18" t="s">
        <v>881</v>
      </c>
      <c r="E18">
        <v>124.279</v>
      </c>
      <c r="F18">
        <v>98.768900000000002</v>
      </c>
      <c r="G18">
        <v>69.685299999999998</v>
      </c>
      <c r="H18">
        <v>12.5726</v>
      </c>
      <c r="I18">
        <v>25.510099999999991</v>
      </c>
    </row>
    <row r="19" spans="1:9" x14ac:dyDescent="0.2">
      <c r="A19" t="s">
        <v>271</v>
      </c>
      <c r="B19" t="s">
        <v>903</v>
      </c>
      <c r="C19" t="s">
        <v>885</v>
      </c>
      <c r="E19">
        <v>119.39</v>
      </c>
      <c r="F19">
        <v>93.941699999999997</v>
      </c>
      <c r="G19">
        <v>67.809899999999999</v>
      </c>
      <c r="H19">
        <v>16.417999999999999</v>
      </c>
      <c r="I19">
        <v>25.4483</v>
      </c>
    </row>
    <row r="20" spans="1:9" x14ac:dyDescent="0.2">
      <c r="A20" t="s">
        <v>683</v>
      </c>
      <c r="B20" t="s">
        <v>904</v>
      </c>
      <c r="C20" t="s">
        <v>881</v>
      </c>
      <c r="E20">
        <v>121.51900000000001</v>
      </c>
      <c r="F20">
        <v>96.141900000000007</v>
      </c>
      <c r="G20">
        <v>65.895200000000003</v>
      </c>
      <c r="H20">
        <v>8.7224000000000004</v>
      </c>
      <c r="I20">
        <v>25.377099999999999</v>
      </c>
    </row>
    <row r="21" spans="1:9" x14ac:dyDescent="0.2">
      <c r="A21" t="s">
        <v>607</v>
      </c>
      <c r="B21" t="s">
        <v>905</v>
      </c>
      <c r="C21" t="s">
        <v>885</v>
      </c>
      <c r="E21">
        <v>125.254</v>
      </c>
      <c r="F21">
        <v>100.113</v>
      </c>
      <c r="G21">
        <v>66.190600000000003</v>
      </c>
      <c r="H21">
        <v>15.5784</v>
      </c>
      <c r="I21">
        <v>25.141000000000009</v>
      </c>
    </row>
    <row r="22" spans="1:9" x14ac:dyDescent="0.2">
      <c r="A22" t="s">
        <v>567</v>
      </c>
      <c r="B22" t="s">
        <v>906</v>
      </c>
      <c r="C22" t="s">
        <v>894</v>
      </c>
      <c r="E22">
        <v>119.55200000000001</v>
      </c>
      <c r="F22">
        <v>94.884100000000004</v>
      </c>
      <c r="G22">
        <v>69.755300000000005</v>
      </c>
      <c r="H22">
        <v>11.0115</v>
      </c>
      <c r="I22">
        <v>24.667899999999999</v>
      </c>
    </row>
    <row r="23" spans="1:9" x14ac:dyDescent="0.2">
      <c r="A23" t="s">
        <v>41</v>
      </c>
      <c r="B23" t="s">
        <v>907</v>
      </c>
      <c r="C23" t="s">
        <v>885</v>
      </c>
      <c r="E23">
        <v>125.62</v>
      </c>
      <c r="F23">
        <v>102.414</v>
      </c>
      <c r="G23">
        <v>69.931299999999993</v>
      </c>
      <c r="H23">
        <v>14.237500000000001</v>
      </c>
      <c r="I23">
        <v>23.206</v>
      </c>
    </row>
    <row r="24" spans="1:9" x14ac:dyDescent="0.2">
      <c r="A24" t="s">
        <v>515</v>
      </c>
      <c r="B24" t="s">
        <v>908</v>
      </c>
      <c r="C24" t="s">
        <v>896</v>
      </c>
      <c r="E24">
        <v>120.444</v>
      </c>
      <c r="F24">
        <v>97.391199999999998</v>
      </c>
      <c r="G24">
        <v>65.165300000000002</v>
      </c>
      <c r="H24">
        <v>4.9892000000000003</v>
      </c>
      <c r="I24">
        <v>23.052800000000001</v>
      </c>
    </row>
    <row r="25" spans="1:9" x14ac:dyDescent="0.2">
      <c r="A25" t="s">
        <v>715</v>
      </c>
      <c r="B25" t="s">
        <v>909</v>
      </c>
      <c r="C25" t="s">
        <v>883</v>
      </c>
      <c r="E25">
        <v>125.715</v>
      </c>
      <c r="F25">
        <v>103.221</v>
      </c>
      <c r="G25">
        <v>68.888800000000003</v>
      </c>
      <c r="H25">
        <v>12.3779</v>
      </c>
      <c r="I25">
        <v>22.494</v>
      </c>
    </row>
    <row r="26" spans="1:9" x14ac:dyDescent="0.2">
      <c r="A26" t="s">
        <v>257</v>
      </c>
      <c r="B26" t="s">
        <v>910</v>
      </c>
      <c r="C26" t="s">
        <v>883</v>
      </c>
      <c r="E26">
        <v>121.851</v>
      </c>
      <c r="F26">
        <v>99.491699999999994</v>
      </c>
      <c r="G26">
        <v>62.997999999999998</v>
      </c>
      <c r="H26">
        <v>11.267799999999999</v>
      </c>
      <c r="I26">
        <v>22.359300000000001</v>
      </c>
    </row>
    <row r="27" spans="1:9" x14ac:dyDescent="0.2">
      <c r="A27" t="s">
        <v>441</v>
      </c>
      <c r="B27" t="s">
        <v>911</v>
      </c>
      <c r="C27" t="s">
        <v>883</v>
      </c>
      <c r="E27">
        <v>124.63</v>
      </c>
      <c r="F27">
        <v>102.77</v>
      </c>
      <c r="G27">
        <v>66.154399999999995</v>
      </c>
      <c r="H27">
        <v>12.7669</v>
      </c>
      <c r="I27">
        <v>21.86</v>
      </c>
    </row>
    <row r="28" spans="1:9" x14ac:dyDescent="0.2">
      <c r="A28" t="s">
        <v>345</v>
      </c>
      <c r="B28" t="s">
        <v>912</v>
      </c>
      <c r="C28" t="s">
        <v>881</v>
      </c>
      <c r="E28">
        <v>121.84</v>
      </c>
      <c r="F28">
        <v>100.01</v>
      </c>
      <c r="G28">
        <v>67.704300000000003</v>
      </c>
      <c r="H28">
        <v>7.2709000000000001</v>
      </c>
      <c r="I28">
        <v>21.83</v>
      </c>
    </row>
    <row r="29" spans="1:9" x14ac:dyDescent="0.2">
      <c r="A29" t="s">
        <v>279</v>
      </c>
      <c r="B29" t="s">
        <v>913</v>
      </c>
      <c r="C29" t="s">
        <v>887</v>
      </c>
      <c r="E29">
        <v>121.423</v>
      </c>
      <c r="F29">
        <v>99.981700000000004</v>
      </c>
      <c r="G29">
        <v>68.248599999999996</v>
      </c>
      <c r="H29">
        <v>15.202</v>
      </c>
      <c r="I29">
        <v>21.441299999999998</v>
      </c>
    </row>
    <row r="30" spans="1:9" x14ac:dyDescent="0.2">
      <c r="A30" t="s">
        <v>635</v>
      </c>
      <c r="B30" t="s">
        <v>914</v>
      </c>
      <c r="C30" t="s">
        <v>883</v>
      </c>
      <c r="E30">
        <v>123.13800000000001</v>
      </c>
      <c r="F30">
        <v>101.842</v>
      </c>
      <c r="G30">
        <v>64.599500000000006</v>
      </c>
      <c r="H30">
        <v>10.866199999999999</v>
      </c>
      <c r="I30">
        <v>21.29600000000001</v>
      </c>
    </row>
    <row r="31" spans="1:9" x14ac:dyDescent="0.2">
      <c r="A31" t="s">
        <v>409</v>
      </c>
      <c r="B31" t="s">
        <v>915</v>
      </c>
      <c r="C31" t="s">
        <v>881</v>
      </c>
      <c r="E31">
        <v>121.59</v>
      </c>
      <c r="F31">
        <v>100.66500000000001</v>
      </c>
      <c r="G31">
        <v>67.938500000000005</v>
      </c>
      <c r="H31">
        <v>11.515700000000001</v>
      </c>
      <c r="I31">
        <v>20.925000000000001</v>
      </c>
    </row>
    <row r="32" spans="1:9" x14ac:dyDescent="0.2">
      <c r="A32" t="s">
        <v>203</v>
      </c>
      <c r="B32" t="s">
        <v>916</v>
      </c>
      <c r="C32" t="s">
        <v>887</v>
      </c>
      <c r="E32">
        <v>124.84699999999999</v>
      </c>
      <c r="F32">
        <v>104.351</v>
      </c>
      <c r="G32">
        <v>71.394400000000005</v>
      </c>
      <c r="H32">
        <v>10.7157</v>
      </c>
      <c r="I32">
        <v>20.495999999999999</v>
      </c>
    </row>
    <row r="33" spans="1:9" x14ac:dyDescent="0.2">
      <c r="A33" t="s">
        <v>663</v>
      </c>
      <c r="B33" t="s">
        <v>917</v>
      </c>
      <c r="C33" t="s">
        <v>918</v>
      </c>
      <c r="E33">
        <v>122.589</v>
      </c>
      <c r="F33">
        <v>102.542</v>
      </c>
      <c r="G33">
        <v>67.588300000000004</v>
      </c>
      <c r="H33">
        <v>6.6544999999999996</v>
      </c>
      <c r="I33">
        <v>20.047000000000001</v>
      </c>
    </row>
    <row r="34" spans="1:9" x14ac:dyDescent="0.2">
      <c r="A34" t="s">
        <v>681</v>
      </c>
      <c r="B34" t="s">
        <v>919</v>
      </c>
      <c r="C34" t="s">
        <v>894</v>
      </c>
      <c r="E34">
        <v>120.408</v>
      </c>
      <c r="F34">
        <v>100.474</v>
      </c>
      <c r="G34">
        <v>65.179500000000004</v>
      </c>
      <c r="H34">
        <v>10.3103</v>
      </c>
      <c r="I34">
        <v>19.934000000000001</v>
      </c>
    </row>
    <row r="35" spans="1:9" x14ac:dyDescent="0.2">
      <c r="A35" t="s">
        <v>381</v>
      </c>
      <c r="B35" t="s">
        <v>920</v>
      </c>
      <c r="C35" t="s">
        <v>881</v>
      </c>
      <c r="E35">
        <v>124.233</v>
      </c>
      <c r="F35">
        <v>104.706</v>
      </c>
      <c r="G35">
        <v>69.068799999999996</v>
      </c>
      <c r="H35">
        <v>11.9009</v>
      </c>
      <c r="I35">
        <v>19.527000000000001</v>
      </c>
    </row>
    <row r="36" spans="1:9" x14ac:dyDescent="0.2">
      <c r="A36" t="s">
        <v>531</v>
      </c>
      <c r="B36" t="s">
        <v>921</v>
      </c>
      <c r="C36" t="s">
        <v>896</v>
      </c>
      <c r="E36">
        <v>123.80800000000001</v>
      </c>
      <c r="F36">
        <v>104.346</v>
      </c>
      <c r="G36">
        <v>69.204099999999997</v>
      </c>
      <c r="H36">
        <v>6.0620000000000003</v>
      </c>
      <c r="I36">
        <v>19.462</v>
      </c>
    </row>
    <row r="37" spans="1:9" x14ac:dyDescent="0.2">
      <c r="A37" t="s">
        <v>109</v>
      </c>
      <c r="B37" t="s">
        <v>922</v>
      </c>
      <c r="C37" t="s">
        <v>881</v>
      </c>
      <c r="E37">
        <v>116.717</v>
      </c>
      <c r="F37">
        <v>97.391000000000005</v>
      </c>
      <c r="G37">
        <v>64.209000000000003</v>
      </c>
      <c r="H37">
        <v>9.8260000000000005</v>
      </c>
      <c r="I37">
        <v>19.326000000000001</v>
      </c>
    </row>
    <row r="38" spans="1:9" x14ac:dyDescent="0.2">
      <c r="A38" t="s">
        <v>601</v>
      </c>
      <c r="B38" t="s">
        <v>923</v>
      </c>
      <c r="C38" t="s">
        <v>887</v>
      </c>
      <c r="E38">
        <v>125.071</v>
      </c>
      <c r="F38">
        <v>106.099</v>
      </c>
      <c r="G38">
        <v>66.885300000000001</v>
      </c>
      <c r="H38">
        <v>13.569100000000001</v>
      </c>
      <c r="I38">
        <v>18.972000000000001</v>
      </c>
    </row>
    <row r="39" spans="1:9" x14ac:dyDescent="0.2">
      <c r="A39" t="s">
        <v>37</v>
      </c>
      <c r="B39" t="s">
        <v>924</v>
      </c>
      <c r="C39" t="s">
        <v>887</v>
      </c>
      <c r="E39">
        <v>124.874</v>
      </c>
      <c r="F39">
        <v>105.953</v>
      </c>
      <c r="G39">
        <v>67.148700000000005</v>
      </c>
      <c r="H39">
        <v>16.491900000000001</v>
      </c>
      <c r="I39">
        <v>18.920999999999989</v>
      </c>
    </row>
    <row r="40" spans="1:9" x14ac:dyDescent="0.2">
      <c r="A40" t="s">
        <v>513</v>
      </c>
      <c r="B40" t="s">
        <v>925</v>
      </c>
      <c r="C40" t="s">
        <v>926</v>
      </c>
      <c r="E40">
        <v>119.95699999999999</v>
      </c>
      <c r="F40">
        <v>101.316</v>
      </c>
      <c r="G40">
        <v>70.981999999999999</v>
      </c>
      <c r="H40">
        <v>0.20469999999999999</v>
      </c>
      <c r="I40">
        <v>18.640999999999991</v>
      </c>
    </row>
    <row r="41" spans="1:9" x14ac:dyDescent="0.2">
      <c r="A41" t="s">
        <v>597</v>
      </c>
      <c r="B41" t="s">
        <v>927</v>
      </c>
      <c r="C41" t="s">
        <v>887</v>
      </c>
      <c r="E41">
        <v>119.79</v>
      </c>
      <c r="F41">
        <v>101.157</v>
      </c>
      <c r="G41">
        <v>70.462800000000001</v>
      </c>
      <c r="H41">
        <v>11.072100000000001</v>
      </c>
      <c r="I41">
        <v>18.63300000000001</v>
      </c>
    </row>
    <row r="42" spans="1:9" x14ac:dyDescent="0.2">
      <c r="A42" t="s">
        <v>443</v>
      </c>
      <c r="B42" t="s">
        <v>928</v>
      </c>
      <c r="C42" t="s">
        <v>887</v>
      </c>
      <c r="E42">
        <v>124.495</v>
      </c>
      <c r="F42">
        <v>106.236</v>
      </c>
      <c r="G42">
        <v>66.237399999999994</v>
      </c>
      <c r="H42">
        <v>12.775700000000001</v>
      </c>
      <c r="I42">
        <v>18.259</v>
      </c>
    </row>
    <row r="43" spans="1:9" x14ac:dyDescent="0.2">
      <c r="A43" t="s">
        <v>503</v>
      </c>
      <c r="B43" t="s">
        <v>929</v>
      </c>
      <c r="C43" t="s">
        <v>881</v>
      </c>
      <c r="E43">
        <v>123.108</v>
      </c>
      <c r="F43">
        <v>105.005</v>
      </c>
      <c r="G43">
        <v>68.560199999999995</v>
      </c>
      <c r="H43">
        <v>11.146699999999999</v>
      </c>
      <c r="I43">
        <v>18.103000000000009</v>
      </c>
    </row>
    <row r="44" spans="1:9" x14ac:dyDescent="0.2">
      <c r="A44" t="s">
        <v>583</v>
      </c>
      <c r="B44" t="s">
        <v>930</v>
      </c>
      <c r="C44" t="s">
        <v>885</v>
      </c>
      <c r="E44">
        <v>115.536</v>
      </c>
      <c r="F44">
        <v>97.873800000000003</v>
      </c>
      <c r="G44">
        <v>67.673199999999994</v>
      </c>
      <c r="H44">
        <v>11.058400000000001</v>
      </c>
      <c r="I44">
        <v>17.662199999999999</v>
      </c>
    </row>
    <row r="45" spans="1:9" x14ac:dyDescent="0.2">
      <c r="A45" t="s">
        <v>107</v>
      </c>
      <c r="B45" t="s">
        <v>931</v>
      </c>
      <c r="C45" t="s">
        <v>885</v>
      </c>
      <c r="E45">
        <v>111.36</v>
      </c>
      <c r="F45">
        <v>93.897099999999995</v>
      </c>
      <c r="G45">
        <v>67.494699999999995</v>
      </c>
      <c r="H45">
        <v>10.9701</v>
      </c>
      <c r="I45">
        <v>17.462900000000001</v>
      </c>
    </row>
    <row r="46" spans="1:9" x14ac:dyDescent="0.2">
      <c r="A46" t="s">
        <v>251</v>
      </c>
      <c r="B46" t="s">
        <v>932</v>
      </c>
      <c r="C46" t="s">
        <v>883</v>
      </c>
      <c r="E46">
        <v>120.48699999999999</v>
      </c>
      <c r="F46">
        <v>103.345</v>
      </c>
      <c r="G46">
        <v>66.073599999999999</v>
      </c>
      <c r="H46">
        <v>11.715</v>
      </c>
      <c r="I46">
        <v>17.141999999999999</v>
      </c>
    </row>
    <row r="47" spans="1:9" x14ac:dyDescent="0.2">
      <c r="A47" t="s">
        <v>523</v>
      </c>
      <c r="B47" t="s">
        <v>933</v>
      </c>
      <c r="C47" t="s">
        <v>918</v>
      </c>
      <c r="E47">
        <v>114.203</v>
      </c>
      <c r="F47">
        <v>97.367400000000004</v>
      </c>
      <c r="G47">
        <v>69.117500000000007</v>
      </c>
      <c r="H47">
        <v>7.7701000000000002</v>
      </c>
      <c r="I47">
        <v>16.835599999999999</v>
      </c>
    </row>
    <row r="48" spans="1:9" x14ac:dyDescent="0.2">
      <c r="A48" t="s">
        <v>671</v>
      </c>
      <c r="B48" t="s">
        <v>934</v>
      </c>
      <c r="C48" t="s">
        <v>926</v>
      </c>
      <c r="E48">
        <v>120.146</v>
      </c>
      <c r="F48">
        <v>103.339</v>
      </c>
      <c r="G48">
        <v>68.995400000000004</v>
      </c>
      <c r="H48">
        <v>3.0364</v>
      </c>
      <c r="I48">
        <v>16.806999999999999</v>
      </c>
    </row>
    <row r="49" spans="1:9" x14ac:dyDescent="0.2">
      <c r="A49" t="s">
        <v>45</v>
      </c>
      <c r="B49" t="s">
        <v>935</v>
      </c>
      <c r="C49" t="s">
        <v>885</v>
      </c>
      <c r="E49">
        <v>123.134</v>
      </c>
      <c r="F49">
        <v>107.194</v>
      </c>
      <c r="G49">
        <v>67.786299999999997</v>
      </c>
      <c r="H49">
        <v>13.853</v>
      </c>
      <c r="I49">
        <v>15.94</v>
      </c>
    </row>
    <row r="50" spans="1:9" x14ac:dyDescent="0.2">
      <c r="A50" t="s">
        <v>391</v>
      </c>
      <c r="B50" t="s">
        <v>936</v>
      </c>
      <c r="C50" t="s">
        <v>918</v>
      </c>
      <c r="E50">
        <v>117.65600000000001</v>
      </c>
      <c r="F50">
        <v>101.718</v>
      </c>
      <c r="G50">
        <v>69.988500000000002</v>
      </c>
      <c r="H50">
        <v>5.2537000000000003</v>
      </c>
      <c r="I50">
        <v>15.938000000000001</v>
      </c>
    </row>
    <row r="51" spans="1:9" x14ac:dyDescent="0.2">
      <c r="A51" t="s">
        <v>535</v>
      </c>
      <c r="B51" t="s">
        <v>937</v>
      </c>
      <c r="C51" t="s">
        <v>894</v>
      </c>
      <c r="E51">
        <v>110.294</v>
      </c>
      <c r="F51">
        <v>94.491799999999998</v>
      </c>
      <c r="G51">
        <v>65.125500000000002</v>
      </c>
      <c r="H51">
        <v>8.3289000000000009</v>
      </c>
      <c r="I51">
        <v>15.802199999999999</v>
      </c>
    </row>
    <row r="52" spans="1:9" x14ac:dyDescent="0.2">
      <c r="A52" t="s">
        <v>365</v>
      </c>
      <c r="B52" t="s">
        <v>938</v>
      </c>
      <c r="C52" t="s">
        <v>887</v>
      </c>
      <c r="E52">
        <v>119.587</v>
      </c>
      <c r="F52">
        <v>104.17100000000001</v>
      </c>
      <c r="G52">
        <v>66.170199999999994</v>
      </c>
      <c r="H52">
        <v>11.4742</v>
      </c>
      <c r="I52">
        <v>15.416</v>
      </c>
    </row>
    <row r="53" spans="1:9" x14ac:dyDescent="0.2">
      <c r="A53" t="s">
        <v>549</v>
      </c>
      <c r="B53" t="s">
        <v>939</v>
      </c>
      <c r="C53" t="s">
        <v>940</v>
      </c>
      <c r="E53">
        <v>117.658</v>
      </c>
      <c r="F53">
        <v>102.40300000000001</v>
      </c>
      <c r="G53">
        <v>71.567499999999995</v>
      </c>
      <c r="H53">
        <v>2.8616999999999999</v>
      </c>
      <c r="I53">
        <v>15.255000000000001</v>
      </c>
    </row>
    <row r="54" spans="1:9" x14ac:dyDescent="0.2">
      <c r="A54" t="s">
        <v>691</v>
      </c>
      <c r="B54" t="s">
        <v>941</v>
      </c>
      <c r="C54" t="s">
        <v>883</v>
      </c>
      <c r="E54">
        <v>117.324</v>
      </c>
      <c r="F54">
        <v>102.239</v>
      </c>
      <c r="G54">
        <v>67.102000000000004</v>
      </c>
      <c r="H54">
        <v>11.889099999999999</v>
      </c>
      <c r="I54">
        <v>15.08499999999999</v>
      </c>
    </row>
    <row r="55" spans="1:9" x14ac:dyDescent="0.2">
      <c r="A55" t="s">
        <v>633</v>
      </c>
      <c r="B55" t="s">
        <v>942</v>
      </c>
      <c r="C55" t="s">
        <v>885</v>
      </c>
      <c r="E55">
        <v>120.693</v>
      </c>
      <c r="F55">
        <v>105.696</v>
      </c>
      <c r="G55">
        <v>69.2226</v>
      </c>
      <c r="H55">
        <v>11.8667</v>
      </c>
      <c r="I55">
        <v>14.997</v>
      </c>
    </row>
    <row r="56" spans="1:9" x14ac:dyDescent="0.2">
      <c r="A56" t="s">
        <v>619</v>
      </c>
      <c r="B56" t="s">
        <v>943</v>
      </c>
      <c r="C56" t="s">
        <v>940</v>
      </c>
      <c r="E56">
        <v>122.245</v>
      </c>
      <c r="F56">
        <v>108.244</v>
      </c>
      <c r="G56">
        <v>67.944199999999995</v>
      </c>
      <c r="H56">
        <v>8.0199999999999994E-2</v>
      </c>
      <c r="I56">
        <v>14.000999999999999</v>
      </c>
    </row>
    <row r="57" spans="1:9" x14ac:dyDescent="0.2">
      <c r="A57" t="s">
        <v>685</v>
      </c>
      <c r="B57" t="s">
        <v>944</v>
      </c>
      <c r="C57" t="s">
        <v>881</v>
      </c>
      <c r="E57">
        <v>117.423</v>
      </c>
      <c r="F57">
        <v>103.795</v>
      </c>
      <c r="G57">
        <v>67.0291</v>
      </c>
      <c r="H57">
        <v>9.9139999999999997</v>
      </c>
      <c r="I57">
        <v>13.628</v>
      </c>
    </row>
    <row r="58" spans="1:9" x14ac:dyDescent="0.2">
      <c r="A58" t="s">
        <v>187</v>
      </c>
      <c r="B58" t="s">
        <v>945</v>
      </c>
      <c r="C58" t="s">
        <v>881</v>
      </c>
      <c r="E58">
        <v>118.616</v>
      </c>
      <c r="F58">
        <v>105.05</v>
      </c>
      <c r="G58">
        <v>70.444699999999997</v>
      </c>
      <c r="H58">
        <v>11.244899999999999</v>
      </c>
      <c r="I58">
        <v>13.566000000000001</v>
      </c>
    </row>
    <row r="59" spans="1:9" x14ac:dyDescent="0.2">
      <c r="A59" t="s">
        <v>571</v>
      </c>
      <c r="B59" t="s">
        <v>946</v>
      </c>
      <c r="C59" t="s">
        <v>881</v>
      </c>
      <c r="E59">
        <v>117.288</v>
      </c>
      <c r="F59">
        <v>103.857</v>
      </c>
      <c r="G59">
        <v>66.761399999999995</v>
      </c>
      <c r="H59">
        <v>8.7964000000000002</v>
      </c>
      <c r="I59">
        <v>13.430999999999999</v>
      </c>
    </row>
    <row r="60" spans="1:9" x14ac:dyDescent="0.2">
      <c r="A60" t="s">
        <v>433</v>
      </c>
      <c r="B60" t="s">
        <v>947</v>
      </c>
      <c r="C60" t="s">
        <v>883</v>
      </c>
      <c r="E60">
        <v>117.649</v>
      </c>
      <c r="F60">
        <v>104.28100000000001</v>
      </c>
      <c r="G60">
        <v>65.047899999999998</v>
      </c>
      <c r="H60">
        <v>13.1334</v>
      </c>
      <c r="I60">
        <v>13.368</v>
      </c>
    </row>
    <row r="61" spans="1:9" x14ac:dyDescent="0.2">
      <c r="A61" t="s">
        <v>699</v>
      </c>
      <c r="B61" t="s">
        <v>948</v>
      </c>
      <c r="C61" t="s">
        <v>885</v>
      </c>
      <c r="E61">
        <v>110.148</v>
      </c>
      <c r="F61">
        <v>96.894900000000007</v>
      </c>
      <c r="G61">
        <v>62.258899999999997</v>
      </c>
      <c r="H61">
        <v>9.2865000000000002</v>
      </c>
      <c r="I61">
        <v>13.253099999999989</v>
      </c>
    </row>
    <row r="62" spans="1:9" x14ac:dyDescent="0.2">
      <c r="A62" t="s">
        <v>215</v>
      </c>
      <c r="B62" t="s">
        <v>949</v>
      </c>
      <c r="C62" t="s">
        <v>918</v>
      </c>
      <c r="E62">
        <v>111.05500000000001</v>
      </c>
      <c r="F62">
        <v>97.83</v>
      </c>
      <c r="G62">
        <v>67.994100000000003</v>
      </c>
      <c r="H62">
        <v>3.7974999999999999</v>
      </c>
      <c r="I62">
        <v>13.22500000000001</v>
      </c>
    </row>
    <row r="63" spans="1:9" x14ac:dyDescent="0.2">
      <c r="A63" t="s">
        <v>55</v>
      </c>
      <c r="B63" t="s">
        <v>950</v>
      </c>
      <c r="C63" t="s">
        <v>918</v>
      </c>
      <c r="E63">
        <v>117.05800000000001</v>
      </c>
      <c r="F63">
        <v>103.869</v>
      </c>
      <c r="G63">
        <v>65.723100000000002</v>
      </c>
      <c r="H63">
        <v>8.4423999999999992</v>
      </c>
      <c r="I63">
        <v>13.189000000000011</v>
      </c>
    </row>
    <row r="64" spans="1:9" x14ac:dyDescent="0.2">
      <c r="A64" t="s">
        <v>281</v>
      </c>
      <c r="B64" t="s">
        <v>951</v>
      </c>
      <c r="C64" t="s">
        <v>887</v>
      </c>
      <c r="E64">
        <v>119.861</v>
      </c>
      <c r="F64">
        <v>106.68600000000001</v>
      </c>
      <c r="G64">
        <v>66.613500000000002</v>
      </c>
      <c r="H64">
        <v>10.863</v>
      </c>
      <c r="I64">
        <v>13.175000000000001</v>
      </c>
    </row>
    <row r="65" spans="1:9" x14ac:dyDescent="0.2">
      <c r="A65" t="s">
        <v>7</v>
      </c>
      <c r="B65" t="s">
        <v>952</v>
      </c>
      <c r="C65" t="s">
        <v>953</v>
      </c>
      <c r="E65">
        <v>119.678</v>
      </c>
      <c r="F65">
        <v>106.673</v>
      </c>
      <c r="G65">
        <v>70.575000000000003</v>
      </c>
      <c r="H65">
        <v>-4.1729000000000003</v>
      </c>
      <c r="I65">
        <v>13.005000000000001</v>
      </c>
    </row>
    <row r="66" spans="1:9" x14ac:dyDescent="0.2">
      <c r="A66" t="s">
        <v>445</v>
      </c>
      <c r="B66" t="s">
        <v>954</v>
      </c>
      <c r="C66" t="s">
        <v>885</v>
      </c>
      <c r="E66">
        <v>120.197</v>
      </c>
      <c r="F66">
        <v>107.65300000000001</v>
      </c>
      <c r="G66">
        <v>72.033900000000003</v>
      </c>
      <c r="H66">
        <v>12.133599999999999</v>
      </c>
      <c r="I66">
        <v>12.544</v>
      </c>
    </row>
    <row r="67" spans="1:9" x14ac:dyDescent="0.2">
      <c r="A67" t="s">
        <v>335</v>
      </c>
      <c r="B67" t="s">
        <v>955</v>
      </c>
      <c r="C67" t="s">
        <v>956</v>
      </c>
      <c r="E67">
        <v>114.43899999999999</v>
      </c>
      <c r="F67">
        <v>101.907</v>
      </c>
      <c r="G67">
        <v>66.177499999999995</v>
      </c>
      <c r="H67">
        <v>-1.8653999999999999</v>
      </c>
      <c r="I67">
        <v>12.532</v>
      </c>
    </row>
    <row r="68" spans="1:9" x14ac:dyDescent="0.2">
      <c r="A68" t="s">
        <v>23</v>
      </c>
      <c r="B68" t="s">
        <v>957</v>
      </c>
      <c r="C68" t="s">
        <v>885</v>
      </c>
      <c r="E68">
        <v>115.983</v>
      </c>
      <c r="F68">
        <v>103.49</v>
      </c>
      <c r="G68">
        <v>69.250200000000007</v>
      </c>
      <c r="H68">
        <v>14.4419</v>
      </c>
      <c r="I68">
        <v>12.493000000000009</v>
      </c>
    </row>
    <row r="69" spans="1:9" x14ac:dyDescent="0.2">
      <c r="A69" t="s">
        <v>49</v>
      </c>
      <c r="B69" t="s">
        <v>958</v>
      </c>
      <c r="C69" t="s">
        <v>959</v>
      </c>
      <c r="E69">
        <v>120.825</v>
      </c>
      <c r="F69">
        <v>108.57299999999999</v>
      </c>
      <c r="G69">
        <v>68.927499999999995</v>
      </c>
      <c r="H69">
        <v>-0.16489999999999999</v>
      </c>
      <c r="I69">
        <v>12.25200000000001</v>
      </c>
    </row>
    <row r="70" spans="1:9" x14ac:dyDescent="0.2">
      <c r="A70" t="s">
        <v>117</v>
      </c>
      <c r="B70" t="s">
        <v>960</v>
      </c>
      <c r="C70" t="s">
        <v>885</v>
      </c>
      <c r="E70">
        <v>119.09099999999999</v>
      </c>
      <c r="F70">
        <v>107.001</v>
      </c>
      <c r="G70">
        <v>68.712500000000006</v>
      </c>
      <c r="H70">
        <v>10.807399999999999</v>
      </c>
      <c r="I70">
        <v>12.089999999999989</v>
      </c>
    </row>
    <row r="71" spans="1:9" x14ac:dyDescent="0.2">
      <c r="A71" t="s">
        <v>427</v>
      </c>
      <c r="B71" t="s">
        <v>961</v>
      </c>
      <c r="C71" t="s">
        <v>959</v>
      </c>
      <c r="E71">
        <v>110.188</v>
      </c>
      <c r="F71">
        <v>98.337000000000003</v>
      </c>
      <c r="G71">
        <v>62.292900000000003</v>
      </c>
      <c r="H71">
        <v>1.2805</v>
      </c>
      <c r="I71">
        <v>11.851000000000001</v>
      </c>
    </row>
    <row r="72" spans="1:9" x14ac:dyDescent="0.2">
      <c r="A72" t="s">
        <v>477</v>
      </c>
      <c r="B72" t="s">
        <v>962</v>
      </c>
      <c r="C72" t="s">
        <v>894</v>
      </c>
      <c r="E72">
        <v>121.136</v>
      </c>
      <c r="F72">
        <v>109.377</v>
      </c>
      <c r="G72">
        <v>71.232100000000003</v>
      </c>
      <c r="H72">
        <v>10.9101</v>
      </c>
      <c r="I72">
        <v>11.759</v>
      </c>
    </row>
    <row r="73" spans="1:9" x14ac:dyDescent="0.2">
      <c r="A73" t="s">
        <v>449</v>
      </c>
      <c r="B73" t="s">
        <v>963</v>
      </c>
      <c r="C73" t="s">
        <v>887</v>
      </c>
      <c r="E73">
        <v>113.873</v>
      </c>
      <c r="F73">
        <v>102.175</v>
      </c>
      <c r="G73">
        <v>66.289599999999993</v>
      </c>
      <c r="H73">
        <v>13.2218</v>
      </c>
      <c r="I73">
        <v>11.698000000000009</v>
      </c>
    </row>
    <row r="74" spans="1:9" x14ac:dyDescent="0.2">
      <c r="A74" t="s">
        <v>387</v>
      </c>
      <c r="B74" t="s">
        <v>964</v>
      </c>
      <c r="C74" t="s">
        <v>918</v>
      </c>
      <c r="E74">
        <v>116.432</v>
      </c>
      <c r="F74">
        <v>104.82899999999999</v>
      </c>
      <c r="G74">
        <v>65.836100000000002</v>
      </c>
      <c r="H74">
        <v>5.4996</v>
      </c>
      <c r="I74">
        <v>11.60300000000001</v>
      </c>
    </row>
    <row r="75" spans="1:9" x14ac:dyDescent="0.2">
      <c r="A75" t="s">
        <v>85</v>
      </c>
      <c r="B75" t="s">
        <v>965</v>
      </c>
      <c r="C75" t="s">
        <v>881</v>
      </c>
      <c r="E75">
        <v>114.273</v>
      </c>
      <c r="F75">
        <v>102.79600000000001</v>
      </c>
      <c r="G75">
        <v>68.039699999999996</v>
      </c>
      <c r="H75">
        <v>7.1383999999999999</v>
      </c>
      <c r="I75">
        <v>11.47699999999999</v>
      </c>
    </row>
    <row r="76" spans="1:9" x14ac:dyDescent="0.2">
      <c r="A76" t="s">
        <v>689</v>
      </c>
      <c r="B76" t="s">
        <v>966</v>
      </c>
      <c r="C76" t="s">
        <v>881</v>
      </c>
      <c r="E76">
        <v>117.163</v>
      </c>
      <c r="F76">
        <v>105.768</v>
      </c>
      <c r="G76">
        <v>68.071100000000001</v>
      </c>
      <c r="H76">
        <v>11.249599999999999</v>
      </c>
      <c r="I76">
        <v>11.395</v>
      </c>
    </row>
    <row r="77" spans="1:9" x14ac:dyDescent="0.2">
      <c r="A77" t="s">
        <v>201</v>
      </c>
      <c r="B77" t="s">
        <v>967</v>
      </c>
      <c r="C77" t="s">
        <v>894</v>
      </c>
      <c r="E77">
        <v>115.21</v>
      </c>
      <c r="F77">
        <v>103.995</v>
      </c>
      <c r="G77">
        <v>66.302599999999998</v>
      </c>
      <c r="H77">
        <v>9.9557000000000002</v>
      </c>
      <c r="I77">
        <v>11.214999999999989</v>
      </c>
    </row>
    <row r="78" spans="1:9" x14ac:dyDescent="0.2">
      <c r="A78" t="s">
        <v>129</v>
      </c>
      <c r="B78" t="s">
        <v>968</v>
      </c>
      <c r="C78" t="s">
        <v>894</v>
      </c>
      <c r="E78">
        <v>116.42100000000001</v>
      </c>
      <c r="F78">
        <v>105.367</v>
      </c>
      <c r="G78">
        <v>67.546000000000006</v>
      </c>
      <c r="H78">
        <v>11.720599999999999</v>
      </c>
      <c r="I78">
        <v>11.054</v>
      </c>
    </row>
    <row r="79" spans="1:9" x14ac:dyDescent="0.2">
      <c r="A79" t="s">
        <v>357</v>
      </c>
      <c r="B79" t="s">
        <v>969</v>
      </c>
      <c r="C79" t="s">
        <v>883</v>
      </c>
      <c r="E79">
        <v>114.72</v>
      </c>
      <c r="F79">
        <v>103.837</v>
      </c>
      <c r="G79">
        <v>62.469299999999997</v>
      </c>
      <c r="H79">
        <v>10.4025</v>
      </c>
      <c r="I79">
        <v>10.882999999999999</v>
      </c>
    </row>
    <row r="80" spans="1:9" x14ac:dyDescent="0.2">
      <c r="A80" t="s">
        <v>651</v>
      </c>
      <c r="B80" t="s">
        <v>970</v>
      </c>
      <c r="C80" t="s">
        <v>883</v>
      </c>
      <c r="E80">
        <v>113.724</v>
      </c>
      <c r="F80">
        <v>102.94199999999999</v>
      </c>
      <c r="G80">
        <v>70.572599999999994</v>
      </c>
      <c r="H80">
        <v>12.152900000000001</v>
      </c>
      <c r="I80">
        <v>10.782000000000011</v>
      </c>
    </row>
    <row r="81" spans="1:9" x14ac:dyDescent="0.2">
      <c r="A81" t="s">
        <v>135</v>
      </c>
      <c r="B81" t="s">
        <v>971</v>
      </c>
      <c r="C81" t="s">
        <v>926</v>
      </c>
      <c r="E81">
        <v>111.417</v>
      </c>
      <c r="F81">
        <v>100.651</v>
      </c>
      <c r="G81">
        <v>67.114099999999993</v>
      </c>
      <c r="H81">
        <v>3.8340000000000001</v>
      </c>
      <c r="I81">
        <v>10.766</v>
      </c>
    </row>
    <row r="82" spans="1:9" x14ac:dyDescent="0.2">
      <c r="A82" t="s">
        <v>725</v>
      </c>
      <c r="B82" t="s">
        <v>972</v>
      </c>
      <c r="C82" t="s">
        <v>973</v>
      </c>
      <c r="E82">
        <v>120.361</v>
      </c>
      <c r="F82">
        <v>109.63500000000001</v>
      </c>
      <c r="G82">
        <v>64.764300000000006</v>
      </c>
      <c r="H82">
        <v>-1.5099</v>
      </c>
      <c r="I82">
        <v>10.726000000000001</v>
      </c>
    </row>
    <row r="83" spans="1:9" x14ac:dyDescent="0.2">
      <c r="A83" t="s">
        <v>581</v>
      </c>
      <c r="B83" t="s">
        <v>974</v>
      </c>
      <c r="C83" t="s">
        <v>881</v>
      </c>
      <c r="E83">
        <v>114.83</v>
      </c>
      <c r="F83">
        <v>105.072</v>
      </c>
      <c r="G83">
        <v>67.386200000000002</v>
      </c>
      <c r="H83">
        <v>10.3576</v>
      </c>
      <c r="I83">
        <v>9.7579999999999956</v>
      </c>
    </row>
    <row r="84" spans="1:9" x14ac:dyDescent="0.2">
      <c r="A84" t="s">
        <v>199</v>
      </c>
      <c r="B84" t="s">
        <v>975</v>
      </c>
      <c r="C84" t="s">
        <v>926</v>
      </c>
      <c r="E84">
        <v>117.67100000000001</v>
      </c>
      <c r="F84">
        <v>108.054</v>
      </c>
      <c r="G84">
        <v>69.068299999999994</v>
      </c>
      <c r="H84">
        <v>0.88770000000000004</v>
      </c>
      <c r="I84">
        <v>9.6170000000000044</v>
      </c>
    </row>
    <row r="85" spans="1:9" x14ac:dyDescent="0.2">
      <c r="A85" t="s">
        <v>325</v>
      </c>
      <c r="B85" t="s">
        <v>976</v>
      </c>
      <c r="C85" t="s">
        <v>894</v>
      </c>
      <c r="E85">
        <v>111.88200000000001</v>
      </c>
      <c r="F85">
        <v>102.283</v>
      </c>
      <c r="G85">
        <v>68.843500000000006</v>
      </c>
      <c r="H85">
        <v>10.905799999999999</v>
      </c>
      <c r="I85">
        <v>9.5990000000000038</v>
      </c>
    </row>
    <row r="86" spans="1:9" x14ac:dyDescent="0.2">
      <c r="A86" t="s">
        <v>119</v>
      </c>
      <c r="B86" t="s">
        <v>977</v>
      </c>
      <c r="C86" t="s">
        <v>918</v>
      </c>
      <c r="E86">
        <v>118.938</v>
      </c>
      <c r="F86">
        <v>109.474</v>
      </c>
      <c r="G86">
        <v>62.9801</v>
      </c>
      <c r="H86">
        <v>4.8550000000000004</v>
      </c>
      <c r="I86">
        <v>9.4640000000000004</v>
      </c>
    </row>
    <row r="87" spans="1:9" x14ac:dyDescent="0.2">
      <c r="A87" t="s">
        <v>73</v>
      </c>
      <c r="B87" t="s">
        <v>978</v>
      </c>
      <c r="C87" t="s">
        <v>894</v>
      </c>
      <c r="E87">
        <v>116.254</v>
      </c>
      <c r="F87">
        <v>106.803</v>
      </c>
      <c r="G87">
        <v>68.677599999999998</v>
      </c>
      <c r="H87">
        <v>9.8933</v>
      </c>
      <c r="I87">
        <v>9.4510000000000076</v>
      </c>
    </row>
    <row r="88" spans="1:9" x14ac:dyDescent="0.2">
      <c r="A88" t="s">
        <v>227</v>
      </c>
      <c r="B88" t="s">
        <v>979</v>
      </c>
      <c r="C88" t="s">
        <v>980</v>
      </c>
      <c r="E88">
        <v>114.687</v>
      </c>
      <c r="F88">
        <v>105.24299999999999</v>
      </c>
      <c r="G88">
        <v>64.734899999999996</v>
      </c>
      <c r="H88">
        <v>-0.98180000000000001</v>
      </c>
      <c r="I88">
        <v>9.4440000000000044</v>
      </c>
    </row>
    <row r="89" spans="1:9" x14ac:dyDescent="0.2">
      <c r="A89" t="s">
        <v>709</v>
      </c>
      <c r="B89" t="s">
        <v>981</v>
      </c>
      <c r="C89" t="s">
        <v>940</v>
      </c>
      <c r="E89">
        <v>113.09099999999999</v>
      </c>
      <c r="F89">
        <v>103.749</v>
      </c>
      <c r="G89">
        <v>66.304199999999994</v>
      </c>
      <c r="H89">
        <v>0.23369999999999999</v>
      </c>
      <c r="I89">
        <v>9.3420000000000005</v>
      </c>
    </row>
    <row r="90" spans="1:9" x14ac:dyDescent="0.2">
      <c r="A90" t="s">
        <v>669</v>
      </c>
      <c r="B90" t="s">
        <v>982</v>
      </c>
      <c r="C90" t="s">
        <v>983</v>
      </c>
      <c r="E90">
        <v>113.514</v>
      </c>
      <c r="F90">
        <v>104.28700000000001</v>
      </c>
      <c r="G90">
        <v>68.893199999999993</v>
      </c>
      <c r="H90">
        <v>-0.68510000000000004</v>
      </c>
      <c r="I90">
        <v>9.2269999999999897</v>
      </c>
    </row>
    <row r="91" spans="1:9" x14ac:dyDescent="0.2">
      <c r="A91" t="s">
        <v>435</v>
      </c>
      <c r="B91" t="s">
        <v>984</v>
      </c>
      <c r="C91" t="s">
        <v>881</v>
      </c>
      <c r="E91">
        <v>115.679</v>
      </c>
      <c r="F91">
        <v>106.779</v>
      </c>
      <c r="G91">
        <v>65.951400000000007</v>
      </c>
      <c r="H91">
        <v>10.743399999999999</v>
      </c>
      <c r="I91">
        <v>8.9000000000000057</v>
      </c>
    </row>
    <row r="92" spans="1:9" x14ac:dyDescent="0.2">
      <c r="A92" t="s">
        <v>573</v>
      </c>
      <c r="B92" t="s">
        <v>985</v>
      </c>
      <c r="C92" t="s">
        <v>956</v>
      </c>
      <c r="E92">
        <v>112.821</v>
      </c>
      <c r="F92">
        <v>104.379</v>
      </c>
      <c r="G92">
        <v>65.779700000000005</v>
      </c>
      <c r="H92">
        <v>-3.6577999999999999</v>
      </c>
      <c r="I92">
        <v>8.4419999999999931</v>
      </c>
    </row>
    <row r="93" spans="1:9" x14ac:dyDescent="0.2">
      <c r="A93" t="s">
        <v>225</v>
      </c>
      <c r="B93" t="s">
        <v>986</v>
      </c>
      <c r="C93" t="s">
        <v>987</v>
      </c>
      <c r="E93">
        <v>117.246</v>
      </c>
      <c r="F93">
        <v>108.813</v>
      </c>
      <c r="G93">
        <v>69.932199999999995</v>
      </c>
      <c r="H93">
        <v>-9.2309999999999999</v>
      </c>
      <c r="I93">
        <v>8.4329999999999927</v>
      </c>
    </row>
    <row r="94" spans="1:9" x14ac:dyDescent="0.2">
      <c r="A94" t="s">
        <v>347</v>
      </c>
      <c r="B94" t="s">
        <v>988</v>
      </c>
      <c r="C94" t="s">
        <v>953</v>
      </c>
      <c r="E94">
        <v>116.84699999999999</v>
      </c>
      <c r="F94">
        <v>108.599</v>
      </c>
      <c r="G94">
        <v>69.973399999999998</v>
      </c>
      <c r="H94">
        <v>-5.3913000000000002</v>
      </c>
      <c r="I94">
        <v>8.2479999999999905</v>
      </c>
    </row>
    <row r="95" spans="1:9" x14ac:dyDescent="0.2">
      <c r="A95" t="s">
        <v>465</v>
      </c>
      <c r="B95" t="s">
        <v>989</v>
      </c>
      <c r="C95" t="s">
        <v>881</v>
      </c>
      <c r="E95">
        <v>113.88500000000001</v>
      </c>
      <c r="F95">
        <v>106.279</v>
      </c>
      <c r="G95">
        <v>63.558700000000002</v>
      </c>
      <c r="H95">
        <v>10.8293</v>
      </c>
      <c r="I95">
        <v>7.6060000000000088</v>
      </c>
    </row>
    <row r="96" spans="1:9" x14ac:dyDescent="0.2">
      <c r="A96" t="s">
        <v>541</v>
      </c>
      <c r="B96" t="s">
        <v>990</v>
      </c>
      <c r="C96" t="s">
        <v>887</v>
      </c>
      <c r="E96">
        <v>112.69799999999999</v>
      </c>
      <c r="F96">
        <v>105.113</v>
      </c>
      <c r="G96">
        <v>66.365700000000004</v>
      </c>
      <c r="H96">
        <v>10.991300000000001</v>
      </c>
      <c r="I96">
        <v>7.5849999999999937</v>
      </c>
    </row>
    <row r="97" spans="1:9" x14ac:dyDescent="0.2">
      <c r="A97" t="s">
        <v>723</v>
      </c>
      <c r="B97" t="s">
        <v>991</v>
      </c>
      <c r="C97" t="s">
        <v>894</v>
      </c>
      <c r="E97">
        <v>117.06</v>
      </c>
      <c r="F97">
        <v>109.56</v>
      </c>
      <c r="G97">
        <v>70.242099999999994</v>
      </c>
      <c r="H97">
        <v>11.4041</v>
      </c>
      <c r="I97">
        <v>7.5</v>
      </c>
    </row>
    <row r="98" spans="1:9" x14ac:dyDescent="0.2">
      <c r="A98" t="s">
        <v>721</v>
      </c>
      <c r="B98" t="s">
        <v>992</v>
      </c>
      <c r="C98" t="s">
        <v>918</v>
      </c>
      <c r="E98">
        <v>115.214</v>
      </c>
      <c r="F98">
        <v>107.76</v>
      </c>
      <c r="G98">
        <v>66.005700000000004</v>
      </c>
      <c r="H98">
        <v>4.0084999999999997</v>
      </c>
      <c r="I98">
        <v>7.4539999999999944</v>
      </c>
    </row>
    <row r="99" spans="1:9" x14ac:dyDescent="0.2">
      <c r="A99" t="s">
        <v>197</v>
      </c>
      <c r="B99" t="s">
        <v>993</v>
      </c>
      <c r="C99" t="s">
        <v>926</v>
      </c>
      <c r="E99">
        <v>113.14</v>
      </c>
      <c r="F99">
        <v>105.715</v>
      </c>
      <c r="G99">
        <v>63.303800000000003</v>
      </c>
      <c r="H99">
        <v>0.30059999999999998</v>
      </c>
      <c r="I99">
        <v>7.4249999999999972</v>
      </c>
    </row>
    <row r="100" spans="1:9" x14ac:dyDescent="0.2">
      <c r="A100" t="s">
        <v>273</v>
      </c>
      <c r="B100" t="s">
        <v>994</v>
      </c>
      <c r="C100" t="s">
        <v>885</v>
      </c>
      <c r="E100">
        <v>113.45099999999999</v>
      </c>
      <c r="F100">
        <v>106.38200000000001</v>
      </c>
      <c r="G100">
        <v>72.635499999999993</v>
      </c>
      <c r="H100">
        <v>13.0802</v>
      </c>
      <c r="I100">
        <v>7.0689999999999884</v>
      </c>
    </row>
    <row r="101" spans="1:9" x14ac:dyDescent="0.2">
      <c r="A101" t="s">
        <v>453</v>
      </c>
      <c r="B101" t="s">
        <v>995</v>
      </c>
      <c r="C101" t="s">
        <v>883</v>
      </c>
      <c r="E101">
        <v>111.738</v>
      </c>
      <c r="F101">
        <v>104.74</v>
      </c>
      <c r="G101">
        <v>65.893900000000002</v>
      </c>
      <c r="H101">
        <v>12.562900000000001</v>
      </c>
      <c r="I101">
        <v>6.9980000000000047</v>
      </c>
    </row>
    <row r="102" spans="1:9" x14ac:dyDescent="0.2">
      <c r="A102" t="s">
        <v>359</v>
      </c>
      <c r="B102" t="s">
        <v>996</v>
      </c>
      <c r="C102" t="s">
        <v>887</v>
      </c>
      <c r="E102">
        <v>112.789</v>
      </c>
      <c r="F102">
        <v>105.831</v>
      </c>
      <c r="G102">
        <v>69.627300000000005</v>
      </c>
      <c r="H102">
        <v>13.1454</v>
      </c>
      <c r="I102">
        <v>6.9579999999999984</v>
      </c>
    </row>
    <row r="103" spans="1:9" x14ac:dyDescent="0.2">
      <c r="A103" t="s">
        <v>137</v>
      </c>
      <c r="B103" t="s">
        <v>997</v>
      </c>
      <c r="C103" t="s">
        <v>894</v>
      </c>
      <c r="E103">
        <v>107.26600000000001</v>
      </c>
      <c r="F103">
        <v>100.437</v>
      </c>
      <c r="G103">
        <v>66.223600000000005</v>
      </c>
      <c r="H103">
        <v>7.9497999999999998</v>
      </c>
      <c r="I103">
        <v>6.8290000000000077</v>
      </c>
    </row>
    <row r="104" spans="1:9" x14ac:dyDescent="0.2">
      <c r="A104" t="s">
        <v>245</v>
      </c>
      <c r="B104" t="s">
        <v>998</v>
      </c>
      <c r="C104" t="s">
        <v>959</v>
      </c>
      <c r="E104">
        <v>110.709</v>
      </c>
      <c r="F104">
        <v>104.04600000000001</v>
      </c>
      <c r="G104">
        <v>66.689899999999994</v>
      </c>
      <c r="H104">
        <v>1.327</v>
      </c>
      <c r="I104">
        <v>6.6629999999999967</v>
      </c>
    </row>
    <row r="105" spans="1:9" x14ac:dyDescent="0.2">
      <c r="A105" t="s">
        <v>247</v>
      </c>
      <c r="B105" t="s">
        <v>999</v>
      </c>
      <c r="C105" t="s">
        <v>959</v>
      </c>
      <c r="E105">
        <v>110.625</v>
      </c>
      <c r="F105">
        <v>104.447</v>
      </c>
      <c r="G105">
        <v>66.374300000000005</v>
      </c>
      <c r="H105">
        <v>1.5847</v>
      </c>
      <c r="I105">
        <v>6.1779999999999973</v>
      </c>
    </row>
    <row r="106" spans="1:9" x14ac:dyDescent="0.2">
      <c r="A106" t="s">
        <v>625</v>
      </c>
      <c r="B106" t="s">
        <v>1000</v>
      </c>
      <c r="C106" t="s">
        <v>1001</v>
      </c>
      <c r="E106">
        <v>104.31100000000001</v>
      </c>
      <c r="F106">
        <v>98.207800000000006</v>
      </c>
      <c r="G106">
        <v>68.319299999999998</v>
      </c>
      <c r="H106">
        <v>-0.96</v>
      </c>
      <c r="I106">
        <v>6.1032000000000011</v>
      </c>
    </row>
    <row r="107" spans="1:9" x14ac:dyDescent="0.2">
      <c r="A107" t="s">
        <v>519</v>
      </c>
      <c r="B107" t="s">
        <v>1002</v>
      </c>
      <c r="C107" t="s">
        <v>1003</v>
      </c>
      <c r="E107">
        <v>114.048</v>
      </c>
      <c r="F107">
        <v>107.97</v>
      </c>
      <c r="G107">
        <v>70.221500000000006</v>
      </c>
      <c r="H107">
        <v>-0.28399999999999997</v>
      </c>
      <c r="I107">
        <v>6.078000000000003</v>
      </c>
    </row>
    <row r="108" spans="1:9" x14ac:dyDescent="0.2">
      <c r="A108" t="s">
        <v>649</v>
      </c>
      <c r="B108" t="s">
        <v>1004</v>
      </c>
      <c r="C108" t="s">
        <v>918</v>
      </c>
      <c r="E108">
        <v>115.08</v>
      </c>
      <c r="F108">
        <v>109.12</v>
      </c>
      <c r="G108">
        <v>69.820700000000002</v>
      </c>
      <c r="H108">
        <v>6.4058999999999999</v>
      </c>
      <c r="I108">
        <v>5.9599999999999937</v>
      </c>
    </row>
    <row r="109" spans="1:9" x14ac:dyDescent="0.2">
      <c r="A109" t="s">
        <v>569</v>
      </c>
      <c r="B109" t="s">
        <v>1005</v>
      </c>
      <c r="C109" t="s">
        <v>1006</v>
      </c>
      <c r="E109">
        <v>114.17400000000001</v>
      </c>
      <c r="F109">
        <v>108.254</v>
      </c>
      <c r="G109">
        <v>68.274000000000001</v>
      </c>
      <c r="H109">
        <v>-5.6348000000000003</v>
      </c>
      <c r="I109">
        <v>5.9200000000000017</v>
      </c>
    </row>
    <row r="110" spans="1:9" x14ac:dyDescent="0.2">
      <c r="A110" t="s">
        <v>647</v>
      </c>
      <c r="B110" t="s">
        <v>1007</v>
      </c>
      <c r="C110" t="s">
        <v>980</v>
      </c>
      <c r="E110">
        <v>112.003</v>
      </c>
      <c r="F110">
        <v>106.229</v>
      </c>
      <c r="G110">
        <v>65.084599999999995</v>
      </c>
      <c r="H110">
        <v>-5.1197999999999997</v>
      </c>
      <c r="I110">
        <v>5.7740000000000009</v>
      </c>
    </row>
    <row r="111" spans="1:9" x14ac:dyDescent="0.2">
      <c r="A111" t="s">
        <v>133</v>
      </c>
      <c r="B111" t="s">
        <v>1008</v>
      </c>
      <c r="C111" t="s">
        <v>926</v>
      </c>
      <c r="E111">
        <v>109.98699999999999</v>
      </c>
      <c r="F111">
        <v>104.336</v>
      </c>
      <c r="G111">
        <v>63.721899999999998</v>
      </c>
      <c r="H111">
        <v>1.8506</v>
      </c>
      <c r="I111">
        <v>5.6509999999999962</v>
      </c>
    </row>
    <row r="112" spans="1:9" x14ac:dyDescent="0.2">
      <c r="A112" t="s">
        <v>457</v>
      </c>
      <c r="B112" t="s">
        <v>1009</v>
      </c>
      <c r="C112" t="s">
        <v>896</v>
      </c>
      <c r="E112">
        <v>110.86799999999999</v>
      </c>
      <c r="F112">
        <v>105.386</v>
      </c>
      <c r="G112">
        <v>64.308700000000002</v>
      </c>
      <c r="H112">
        <v>2.9508000000000001</v>
      </c>
      <c r="I112">
        <v>5.4819999999999993</v>
      </c>
    </row>
    <row r="113" spans="1:9" x14ac:dyDescent="0.2">
      <c r="A113" t="s">
        <v>75</v>
      </c>
      <c r="B113" t="s">
        <v>1010</v>
      </c>
      <c r="C113" t="s">
        <v>983</v>
      </c>
      <c r="E113">
        <v>108.10599999999999</v>
      </c>
      <c r="F113">
        <v>102.693</v>
      </c>
      <c r="G113">
        <v>65.622</v>
      </c>
      <c r="H113">
        <v>-2.3068</v>
      </c>
      <c r="I113">
        <v>5.4129999999999967</v>
      </c>
    </row>
    <row r="114" spans="1:9" x14ac:dyDescent="0.2">
      <c r="A114" t="s">
        <v>413</v>
      </c>
      <c r="B114" t="s">
        <v>1011</v>
      </c>
      <c r="C114" t="s">
        <v>1006</v>
      </c>
      <c r="E114">
        <v>111.964</v>
      </c>
      <c r="F114">
        <v>106.79</v>
      </c>
      <c r="G114">
        <v>66.329400000000007</v>
      </c>
      <c r="H114">
        <v>-5.8079000000000001</v>
      </c>
      <c r="I114">
        <v>5.1739999999999924</v>
      </c>
    </row>
    <row r="115" spans="1:9" x14ac:dyDescent="0.2">
      <c r="A115" t="s">
        <v>223</v>
      </c>
      <c r="B115" t="s">
        <v>1012</v>
      </c>
      <c r="C115" t="s">
        <v>1001</v>
      </c>
      <c r="E115">
        <v>107.32899999999999</v>
      </c>
      <c r="F115">
        <v>102.268</v>
      </c>
      <c r="G115">
        <v>69.741500000000002</v>
      </c>
      <c r="H115">
        <v>-3.8519999999999999</v>
      </c>
      <c r="I115">
        <v>5.0609999999999928</v>
      </c>
    </row>
    <row r="116" spans="1:9" x14ac:dyDescent="0.2">
      <c r="A116" t="s">
        <v>655</v>
      </c>
      <c r="B116" t="s">
        <v>1013</v>
      </c>
      <c r="C116" t="s">
        <v>956</v>
      </c>
      <c r="E116">
        <v>111.164</v>
      </c>
      <c r="F116">
        <v>106.568</v>
      </c>
      <c r="G116">
        <v>66.376800000000003</v>
      </c>
      <c r="H116">
        <v>-1.2410000000000001</v>
      </c>
      <c r="I116">
        <v>4.5960000000000036</v>
      </c>
    </row>
    <row r="117" spans="1:9" x14ac:dyDescent="0.2">
      <c r="A117" t="s">
        <v>555</v>
      </c>
      <c r="B117" t="s">
        <v>1014</v>
      </c>
      <c r="C117" t="s">
        <v>959</v>
      </c>
      <c r="E117">
        <v>103.94199999999999</v>
      </c>
      <c r="F117">
        <v>99.360900000000001</v>
      </c>
      <c r="G117">
        <v>68.921599999999998</v>
      </c>
      <c r="H117">
        <v>1.8096000000000001</v>
      </c>
      <c r="I117">
        <v>4.5810999999999922</v>
      </c>
    </row>
    <row r="118" spans="1:9" x14ac:dyDescent="0.2">
      <c r="A118" t="s">
        <v>629</v>
      </c>
      <c r="B118" t="s">
        <v>1015</v>
      </c>
      <c r="C118" t="s">
        <v>1001</v>
      </c>
      <c r="E118">
        <v>108.068</v>
      </c>
      <c r="F118">
        <v>103.508</v>
      </c>
      <c r="G118">
        <v>67.197199999999995</v>
      </c>
      <c r="H118">
        <v>-1.0082</v>
      </c>
      <c r="I118">
        <v>4.5600000000000023</v>
      </c>
    </row>
    <row r="119" spans="1:9" x14ac:dyDescent="0.2">
      <c r="A119" t="s">
        <v>533</v>
      </c>
      <c r="B119" t="s">
        <v>1016</v>
      </c>
      <c r="C119" t="s">
        <v>896</v>
      </c>
      <c r="E119">
        <v>102.40900000000001</v>
      </c>
      <c r="F119">
        <v>97.871700000000004</v>
      </c>
      <c r="G119">
        <v>67.642099999999999</v>
      </c>
      <c r="H119">
        <v>1.635</v>
      </c>
      <c r="I119">
        <v>4.5373000000000019</v>
      </c>
    </row>
    <row r="120" spans="1:9" x14ac:dyDescent="0.2">
      <c r="A120" t="s">
        <v>527</v>
      </c>
      <c r="B120" t="s">
        <v>1017</v>
      </c>
      <c r="C120" t="s">
        <v>896</v>
      </c>
      <c r="E120">
        <v>113.79900000000001</v>
      </c>
      <c r="F120">
        <v>109.545</v>
      </c>
      <c r="G120">
        <v>65.9876</v>
      </c>
      <c r="H120">
        <v>4.1009000000000002</v>
      </c>
      <c r="I120">
        <v>4.2540000000000049</v>
      </c>
    </row>
    <row r="121" spans="1:9" x14ac:dyDescent="0.2">
      <c r="A121" t="s">
        <v>329</v>
      </c>
      <c r="B121" t="s">
        <v>1018</v>
      </c>
      <c r="C121" t="s">
        <v>883</v>
      </c>
      <c r="E121">
        <v>111.25</v>
      </c>
      <c r="F121">
        <v>107.02800000000001</v>
      </c>
      <c r="G121">
        <v>66.150800000000004</v>
      </c>
      <c r="H121">
        <v>14.6273</v>
      </c>
      <c r="I121">
        <v>4.2219999999999942</v>
      </c>
    </row>
    <row r="122" spans="1:9" x14ac:dyDescent="0.2">
      <c r="A122" t="s">
        <v>379</v>
      </c>
      <c r="B122" t="s">
        <v>1019</v>
      </c>
      <c r="C122" t="s">
        <v>959</v>
      </c>
      <c r="E122">
        <v>116.42400000000001</v>
      </c>
      <c r="F122">
        <v>112.285</v>
      </c>
      <c r="G122">
        <v>71.566400000000002</v>
      </c>
      <c r="H122">
        <v>1.1545000000000001</v>
      </c>
      <c r="I122">
        <v>4.13900000000001</v>
      </c>
    </row>
    <row r="123" spans="1:9" x14ac:dyDescent="0.2">
      <c r="A123" t="s">
        <v>511</v>
      </c>
      <c r="B123" t="s">
        <v>1020</v>
      </c>
      <c r="C123" t="s">
        <v>926</v>
      </c>
      <c r="E123">
        <v>106.98699999999999</v>
      </c>
      <c r="F123">
        <v>102.983</v>
      </c>
      <c r="G123">
        <v>68.326999999999998</v>
      </c>
      <c r="H123">
        <v>0.60640000000000005</v>
      </c>
      <c r="I123">
        <v>4.0039999999999907</v>
      </c>
    </row>
    <row r="124" spans="1:9" x14ac:dyDescent="0.2">
      <c r="A124" t="s">
        <v>63</v>
      </c>
      <c r="B124" t="s">
        <v>1021</v>
      </c>
      <c r="C124" t="s">
        <v>959</v>
      </c>
      <c r="E124">
        <v>111.86499999999999</v>
      </c>
      <c r="F124">
        <v>107.896</v>
      </c>
      <c r="G124">
        <v>67.308999999999997</v>
      </c>
      <c r="H124">
        <v>0.67410000000000003</v>
      </c>
      <c r="I124">
        <v>3.9689999999999941</v>
      </c>
    </row>
    <row r="125" spans="1:9" x14ac:dyDescent="0.2">
      <c r="A125" t="s">
        <v>499</v>
      </c>
      <c r="B125" t="s">
        <v>1022</v>
      </c>
      <c r="C125" t="s">
        <v>883</v>
      </c>
      <c r="E125">
        <v>110.66200000000001</v>
      </c>
      <c r="F125">
        <v>106.736</v>
      </c>
      <c r="G125">
        <v>66.852500000000006</v>
      </c>
      <c r="H125">
        <v>11.146100000000001</v>
      </c>
      <c r="I125">
        <v>3.9260000000000019</v>
      </c>
    </row>
    <row r="126" spans="1:9" x14ac:dyDescent="0.2">
      <c r="A126" t="s">
        <v>293</v>
      </c>
      <c r="B126" t="s">
        <v>1023</v>
      </c>
      <c r="C126" t="s">
        <v>1003</v>
      </c>
      <c r="E126">
        <v>117.788</v>
      </c>
      <c r="F126">
        <v>113.877</v>
      </c>
      <c r="G126">
        <v>63.924199999999999</v>
      </c>
      <c r="H126">
        <v>-1.7927999999999999</v>
      </c>
      <c r="I126">
        <v>3.9110000000000018</v>
      </c>
    </row>
    <row r="127" spans="1:9" x14ac:dyDescent="0.2">
      <c r="A127" t="s">
        <v>621</v>
      </c>
      <c r="B127" t="s">
        <v>1024</v>
      </c>
      <c r="C127" t="s">
        <v>940</v>
      </c>
      <c r="E127">
        <v>109.768</v>
      </c>
      <c r="F127">
        <v>105.858</v>
      </c>
      <c r="G127">
        <v>69.037400000000005</v>
      </c>
      <c r="H127">
        <v>-0.83</v>
      </c>
      <c r="I127">
        <v>3.909999999999997</v>
      </c>
    </row>
    <row r="128" spans="1:9" x14ac:dyDescent="0.2">
      <c r="A128" t="s">
        <v>667</v>
      </c>
      <c r="B128" t="s">
        <v>1025</v>
      </c>
      <c r="C128" t="s">
        <v>885</v>
      </c>
      <c r="E128">
        <v>114.809</v>
      </c>
      <c r="F128">
        <v>111.20699999999999</v>
      </c>
      <c r="G128">
        <v>65.990200000000002</v>
      </c>
      <c r="H128">
        <v>12.052300000000001</v>
      </c>
      <c r="I128">
        <v>3.6020000000000039</v>
      </c>
    </row>
    <row r="129" spans="1:9" x14ac:dyDescent="0.2">
      <c r="A129" t="s">
        <v>153</v>
      </c>
      <c r="B129" t="s">
        <v>1026</v>
      </c>
      <c r="C129" t="s">
        <v>926</v>
      </c>
      <c r="E129">
        <v>110.919</v>
      </c>
      <c r="F129">
        <v>107.676</v>
      </c>
      <c r="G129">
        <v>68.782600000000002</v>
      </c>
      <c r="H129">
        <v>2.0081000000000002</v>
      </c>
      <c r="I129">
        <v>3.242999999999995</v>
      </c>
    </row>
    <row r="130" spans="1:9" x14ac:dyDescent="0.2">
      <c r="A130" t="s">
        <v>181</v>
      </c>
      <c r="B130" t="s">
        <v>1027</v>
      </c>
      <c r="C130" t="s">
        <v>940</v>
      </c>
      <c r="E130">
        <v>109.68</v>
      </c>
      <c r="F130">
        <v>106.46</v>
      </c>
      <c r="G130">
        <v>69.646900000000002</v>
      </c>
      <c r="H130">
        <v>1.81</v>
      </c>
      <c r="I130">
        <v>3.2200000000000131</v>
      </c>
    </row>
    <row r="131" spans="1:9" x14ac:dyDescent="0.2">
      <c r="A131" t="s">
        <v>631</v>
      </c>
      <c r="B131" t="s">
        <v>1028</v>
      </c>
      <c r="C131" t="s">
        <v>1001</v>
      </c>
      <c r="E131">
        <v>113.931</v>
      </c>
      <c r="F131">
        <v>110.736</v>
      </c>
      <c r="G131">
        <v>64.372799999999998</v>
      </c>
      <c r="H131">
        <v>-1.0273000000000001</v>
      </c>
      <c r="I131">
        <v>3.1949999999999932</v>
      </c>
    </row>
    <row r="132" spans="1:9" x14ac:dyDescent="0.2">
      <c r="A132" t="s">
        <v>191</v>
      </c>
      <c r="B132" t="s">
        <v>1029</v>
      </c>
      <c r="C132" t="s">
        <v>918</v>
      </c>
      <c r="E132">
        <v>107.542</v>
      </c>
      <c r="F132">
        <v>104.41500000000001</v>
      </c>
      <c r="G132">
        <v>68.195099999999996</v>
      </c>
      <c r="H132">
        <v>4.8064</v>
      </c>
      <c r="I132">
        <v>3.1269999999999958</v>
      </c>
    </row>
    <row r="133" spans="1:9" x14ac:dyDescent="0.2">
      <c r="A133" t="s">
        <v>371</v>
      </c>
      <c r="B133" t="s">
        <v>1030</v>
      </c>
      <c r="C133" t="s">
        <v>1031</v>
      </c>
      <c r="E133">
        <v>111.114</v>
      </c>
      <c r="F133">
        <v>108.098</v>
      </c>
      <c r="G133">
        <v>65.887600000000006</v>
      </c>
      <c r="H133">
        <v>3.0700000000000002E-2</v>
      </c>
      <c r="I133">
        <v>3.0160000000000049</v>
      </c>
    </row>
    <row r="134" spans="1:9" x14ac:dyDescent="0.2">
      <c r="A134" t="s">
        <v>611</v>
      </c>
      <c r="B134" t="s">
        <v>1032</v>
      </c>
      <c r="C134" t="s">
        <v>953</v>
      </c>
      <c r="E134">
        <v>114.964</v>
      </c>
      <c r="F134">
        <v>112.328</v>
      </c>
      <c r="G134">
        <v>67.900700000000001</v>
      </c>
      <c r="H134">
        <v>-1.2529999999999999</v>
      </c>
      <c r="I134">
        <v>2.6359999999999961</v>
      </c>
    </row>
    <row r="135" spans="1:9" x14ac:dyDescent="0.2">
      <c r="A135" t="s">
        <v>489</v>
      </c>
      <c r="B135" t="s">
        <v>1033</v>
      </c>
      <c r="C135" t="s">
        <v>926</v>
      </c>
      <c r="E135">
        <v>105.983</v>
      </c>
      <c r="F135">
        <v>103.499</v>
      </c>
      <c r="G135">
        <v>65.697100000000006</v>
      </c>
      <c r="H135">
        <v>0.73970000000000002</v>
      </c>
      <c r="I135">
        <v>2.4840000000000089</v>
      </c>
    </row>
    <row r="136" spans="1:9" x14ac:dyDescent="0.2">
      <c r="A136" t="s">
        <v>693</v>
      </c>
      <c r="B136" t="s">
        <v>1034</v>
      </c>
      <c r="C136" t="s">
        <v>896</v>
      </c>
      <c r="E136">
        <v>114.146</v>
      </c>
      <c r="F136">
        <v>111.754</v>
      </c>
      <c r="G136">
        <v>67.846500000000006</v>
      </c>
      <c r="H136">
        <v>5.1055000000000001</v>
      </c>
      <c r="I136">
        <v>2.3919999999999959</v>
      </c>
    </row>
    <row r="137" spans="1:9" x14ac:dyDescent="0.2">
      <c r="A137" t="s">
        <v>337</v>
      </c>
      <c r="B137" t="s">
        <v>1035</v>
      </c>
      <c r="C137" t="s">
        <v>940</v>
      </c>
      <c r="E137">
        <v>107.19499999999999</v>
      </c>
      <c r="F137">
        <v>104.84399999999999</v>
      </c>
      <c r="G137">
        <v>70.199700000000007</v>
      </c>
      <c r="H137">
        <v>5.2774999999999999</v>
      </c>
      <c r="I137">
        <v>2.3509999999999991</v>
      </c>
    </row>
    <row r="138" spans="1:9" x14ac:dyDescent="0.2">
      <c r="A138" t="s">
        <v>417</v>
      </c>
      <c r="B138" t="s">
        <v>1036</v>
      </c>
      <c r="C138" t="s">
        <v>940</v>
      </c>
      <c r="E138">
        <v>103.928</v>
      </c>
      <c r="F138">
        <v>101.637</v>
      </c>
      <c r="G138">
        <v>64.999899999999997</v>
      </c>
      <c r="H138">
        <v>0.48120000000000002</v>
      </c>
      <c r="I138">
        <v>2.2909999999999968</v>
      </c>
    </row>
    <row r="139" spans="1:9" x14ac:dyDescent="0.2">
      <c r="A139" t="s">
        <v>461</v>
      </c>
      <c r="B139" t="s">
        <v>1037</v>
      </c>
      <c r="C139" t="s">
        <v>883</v>
      </c>
      <c r="E139">
        <v>114.14100000000001</v>
      </c>
      <c r="F139">
        <v>111.96899999999999</v>
      </c>
      <c r="G139">
        <v>67.429299999999998</v>
      </c>
      <c r="H139">
        <v>10.672499999999999</v>
      </c>
      <c r="I139">
        <v>2.1720000000000121</v>
      </c>
    </row>
    <row r="140" spans="1:9" x14ac:dyDescent="0.2">
      <c r="A140" t="s">
        <v>565</v>
      </c>
      <c r="B140" t="s">
        <v>1038</v>
      </c>
      <c r="C140" t="s">
        <v>926</v>
      </c>
      <c r="E140">
        <v>114.18</v>
      </c>
      <c r="F140">
        <v>112.08799999999999</v>
      </c>
      <c r="G140">
        <v>67.305199999999999</v>
      </c>
      <c r="H140">
        <v>1.0348999999999999</v>
      </c>
      <c r="I140">
        <v>2.092000000000013</v>
      </c>
    </row>
    <row r="141" spans="1:9" x14ac:dyDescent="0.2">
      <c r="A141" t="s">
        <v>719</v>
      </c>
      <c r="B141" t="s">
        <v>1039</v>
      </c>
      <c r="C141" t="s">
        <v>1040</v>
      </c>
      <c r="E141">
        <v>112.184</v>
      </c>
      <c r="F141">
        <v>110.17100000000001</v>
      </c>
      <c r="G141">
        <v>67.191199999999995</v>
      </c>
      <c r="H141">
        <v>-4.0951000000000004</v>
      </c>
      <c r="I141">
        <v>2.012999999999991</v>
      </c>
    </row>
    <row r="142" spans="1:9" x14ac:dyDescent="0.2">
      <c r="A142" t="s">
        <v>423</v>
      </c>
      <c r="B142" t="s">
        <v>1041</v>
      </c>
      <c r="C142" t="s">
        <v>1031</v>
      </c>
      <c r="E142">
        <v>112.434</v>
      </c>
      <c r="F142">
        <v>110.512</v>
      </c>
      <c r="G142">
        <v>68.709400000000002</v>
      </c>
      <c r="H142">
        <v>-2.0537999999999998</v>
      </c>
      <c r="I142">
        <v>1.921999999999997</v>
      </c>
    </row>
    <row r="143" spans="1:9" x14ac:dyDescent="0.2">
      <c r="A143" t="s">
        <v>383</v>
      </c>
      <c r="B143" t="s">
        <v>1042</v>
      </c>
      <c r="C143" t="s">
        <v>1043</v>
      </c>
      <c r="E143">
        <v>107.557</v>
      </c>
      <c r="F143">
        <v>105.723</v>
      </c>
      <c r="G143">
        <v>65.108699999999999</v>
      </c>
      <c r="H143">
        <v>-12.151199999999999</v>
      </c>
      <c r="I143">
        <v>1.834000000000003</v>
      </c>
    </row>
    <row r="144" spans="1:9" x14ac:dyDescent="0.2">
      <c r="A144" t="s">
        <v>615</v>
      </c>
      <c r="B144" t="s">
        <v>1044</v>
      </c>
      <c r="C144" t="s">
        <v>1045</v>
      </c>
      <c r="E144">
        <v>110.854</v>
      </c>
      <c r="F144">
        <v>109.108</v>
      </c>
      <c r="G144">
        <v>64.884500000000003</v>
      </c>
      <c r="H144">
        <v>-3.2374000000000001</v>
      </c>
      <c r="I144">
        <v>1.7459999999999949</v>
      </c>
    </row>
    <row r="145" spans="1:9" x14ac:dyDescent="0.2">
      <c r="A145" t="s">
        <v>497</v>
      </c>
      <c r="B145" t="s">
        <v>1046</v>
      </c>
      <c r="C145" t="s">
        <v>1040</v>
      </c>
      <c r="E145">
        <v>110.874</v>
      </c>
      <c r="F145">
        <v>109.215</v>
      </c>
      <c r="G145">
        <v>64.469899999999996</v>
      </c>
      <c r="H145">
        <v>-4.5918000000000001</v>
      </c>
      <c r="I145">
        <v>1.658999999999992</v>
      </c>
    </row>
    <row r="146" spans="1:9" x14ac:dyDescent="0.2">
      <c r="A146" t="s">
        <v>241</v>
      </c>
      <c r="B146" t="s">
        <v>1047</v>
      </c>
      <c r="C146" t="s">
        <v>1031</v>
      </c>
      <c r="E146">
        <v>109.045</v>
      </c>
      <c r="F146">
        <v>107.444</v>
      </c>
      <c r="G146">
        <v>67.745000000000005</v>
      </c>
      <c r="H146">
        <v>-1.6268</v>
      </c>
      <c r="I146">
        <v>1.6009999999999991</v>
      </c>
    </row>
    <row r="147" spans="1:9" x14ac:dyDescent="0.2">
      <c r="A147" t="s">
        <v>469</v>
      </c>
      <c r="B147" t="s">
        <v>1048</v>
      </c>
      <c r="C147" t="s">
        <v>1031</v>
      </c>
      <c r="E147">
        <v>103.685</v>
      </c>
      <c r="F147">
        <v>102.114</v>
      </c>
      <c r="G147">
        <v>68.004499999999993</v>
      </c>
      <c r="H147">
        <v>-1.9655</v>
      </c>
      <c r="I147">
        <v>1.570999999999998</v>
      </c>
    </row>
    <row r="148" spans="1:9" x14ac:dyDescent="0.2">
      <c r="A148" t="s">
        <v>61</v>
      </c>
      <c r="B148" t="s">
        <v>1049</v>
      </c>
      <c r="C148" t="s">
        <v>953</v>
      </c>
      <c r="E148">
        <v>107.289</v>
      </c>
      <c r="F148">
        <v>105.783</v>
      </c>
      <c r="G148">
        <v>68.327299999999994</v>
      </c>
      <c r="H148">
        <v>-3.3498000000000001</v>
      </c>
      <c r="I148">
        <v>1.506</v>
      </c>
    </row>
    <row r="149" spans="1:9" x14ac:dyDescent="0.2">
      <c r="A149" t="s">
        <v>711</v>
      </c>
      <c r="B149" t="s">
        <v>1050</v>
      </c>
      <c r="C149" t="s">
        <v>980</v>
      </c>
      <c r="E149">
        <v>111.095</v>
      </c>
      <c r="F149">
        <v>109.646</v>
      </c>
      <c r="G149">
        <v>72.574700000000007</v>
      </c>
      <c r="H149">
        <v>-2.1551999999999998</v>
      </c>
      <c r="I149">
        <v>1.4489999999999981</v>
      </c>
    </row>
    <row r="150" spans="1:9" x14ac:dyDescent="0.2">
      <c r="A150" t="s">
        <v>277</v>
      </c>
      <c r="B150" t="s">
        <v>1051</v>
      </c>
      <c r="C150" t="s">
        <v>953</v>
      </c>
      <c r="E150">
        <v>112.271</v>
      </c>
      <c r="F150">
        <v>110.845</v>
      </c>
      <c r="G150">
        <v>70.402600000000007</v>
      </c>
      <c r="H150">
        <v>-3.1869999999999998</v>
      </c>
      <c r="I150">
        <v>1.4260000000000019</v>
      </c>
    </row>
    <row r="151" spans="1:9" x14ac:dyDescent="0.2">
      <c r="A151" t="s">
        <v>29</v>
      </c>
      <c r="B151" t="s">
        <v>1052</v>
      </c>
      <c r="C151" t="s">
        <v>1045</v>
      </c>
      <c r="E151">
        <v>110.812</v>
      </c>
      <c r="F151">
        <v>109.422</v>
      </c>
      <c r="G151">
        <v>71.975499999999997</v>
      </c>
      <c r="H151">
        <v>-3.8513000000000002</v>
      </c>
      <c r="I151">
        <v>1.390000000000001</v>
      </c>
    </row>
    <row r="152" spans="1:9" x14ac:dyDescent="0.2">
      <c r="A152" t="s">
        <v>221</v>
      </c>
      <c r="B152" t="s">
        <v>1053</v>
      </c>
      <c r="C152" t="s">
        <v>973</v>
      </c>
      <c r="E152">
        <v>107.578</v>
      </c>
      <c r="F152">
        <v>106.27</v>
      </c>
      <c r="G152">
        <v>63.056699999999999</v>
      </c>
      <c r="H152">
        <v>-3.6400999999999999</v>
      </c>
      <c r="I152">
        <v>1.3080000000000069</v>
      </c>
    </row>
    <row r="153" spans="1:9" x14ac:dyDescent="0.2">
      <c r="A153" t="s">
        <v>91</v>
      </c>
      <c r="B153" t="s">
        <v>1054</v>
      </c>
      <c r="C153" t="s">
        <v>1055</v>
      </c>
      <c r="E153">
        <v>110.328</v>
      </c>
      <c r="F153">
        <v>109.104</v>
      </c>
      <c r="G153">
        <v>67.959400000000002</v>
      </c>
      <c r="H153">
        <v>-5.452</v>
      </c>
      <c r="I153">
        <v>1.224000000000004</v>
      </c>
    </row>
    <row r="154" spans="1:9" x14ac:dyDescent="0.2">
      <c r="A154" t="s">
        <v>713</v>
      </c>
      <c r="B154" t="s">
        <v>1056</v>
      </c>
      <c r="C154" t="s">
        <v>987</v>
      </c>
      <c r="E154">
        <v>111.81</v>
      </c>
      <c r="F154">
        <v>110.655</v>
      </c>
      <c r="G154">
        <v>70.010300000000001</v>
      </c>
      <c r="H154">
        <v>-4.7697000000000003</v>
      </c>
      <c r="I154">
        <v>1.1550000000000009</v>
      </c>
    </row>
    <row r="155" spans="1:9" x14ac:dyDescent="0.2">
      <c r="A155" t="s">
        <v>57</v>
      </c>
      <c r="B155" t="s">
        <v>1057</v>
      </c>
      <c r="C155" t="s">
        <v>881</v>
      </c>
      <c r="E155">
        <v>103.95099999999999</v>
      </c>
      <c r="F155">
        <v>102.79900000000001</v>
      </c>
      <c r="G155">
        <v>65.974999999999994</v>
      </c>
      <c r="H155">
        <v>6.6519000000000004</v>
      </c>
      <c r="I155">
        <v>1.151999999999987</v>
      </c>
    </row>
    <row r="156" spans="1:9" x14ac:dyDescent="0.2">
      <c r="A156" t="s">
        <v>657</v>
      </c>
      <c r="B156" t="s">
        <v>1058</v>
      </c>
      <c r="C156" t="s">
        <v>983</v>
      </c>
      <c r="E156">
        <v>102.47199999999999</v>
      </c>
      <c r="F156">
        <v>101.473</v>
      </c>
      <c r="G156">
        <v>65.0261</v>
      </c>
      <c r="H156">
        <v>0.23080000000000001</v>
      </c>
      <c r="I156">
        <v>0.99899999999999523</v>
      </c>
    </row>
    <row r="157" spans="1:9" x14ac:dyDescent="0.2">
      <c r="A157" t="s">
        <v>613</v>
      </c>
      <c r="B157" t="s">
        <v>1059</v>
      </c>
      <c r="C157" t="s">
        <v>980</v>
      </c>
      <c r="E157">
        <v>105.901</v>
      </c>
      <c r="F157">
        <v>104.90900000000001</v>
      </c>
      <c r="G157">
        <v>63.454300000000003</v>
      </c>
      <c r="H157">
        <v>-1.0159</v>
      </c>
      <c r="I157">
        <v>0.99199999999999022</v>
      </c>
    </row>
    <row r="158" spans="1:9" x14ac:dyDescent="0.2">
      <c r="A158" t="s">
        <v>675</v>
      </c>
      <c r="B158" t="s">
        <v>1060</v>
      </c>
      <c r="C158" t="s">
        <v>959</v>
      </c>
      <c r="E158">
        <v>108.28400000000001</v>
      </c>
      <c r="F158">
        <v>107.30200000000001</v>
      </c>
      <c r="G158">
        <v>65.132099999999994</v>
      </c>
      <c r="H158">
        <v>0.79910000000000003</v>
      </c>
      <c r="I158">
        <v>0.98199999999999921</v>
      </c>
    </row>
    <row r="159" spans="1:9" x14ac:dyDescent="0.2">
      <c r="A159" t="s">
        <v>127</v>
      </c>
      <c r="B159" t="s">
        <v>1061</v>
      </c>
      <c r="C159" t="s">
        <v>973</v>
      </c>
      <c r="E159">
        <v>119.678</v>
      </c>
      <c r="F159">
        <v>118.723</v>
      </c>
      <c r="G159">
        <v>71.584699999999998</v>
      </c>
      <c r="H159">
        <v>-1.8369</v>
      </c>
      <c r="I159">
        <v>0.95499999999999841</v>
      </c>
    </row>
    <row r="160" spans="1:9" x14ac:dyDescent="0.2">
      <c r="A160" t="s">
        <v>623</v>
      </c>
      <c r="B160" t="s">
        <v>1062</v>
      </c>
      <c r="C160" t="s">
        <v>1001</v>
      </c>
      <c r="E160">
        <v>108.16500000000001</v>
      </c>
      <c r="F160">
        <v>107.239</v>
      </c>
      <c r="G160">
        <v>68.963099999999997</v>
      </c>
      <c r="H160">
        <v>-0.1993</v>
      </c>
      <c r="I160">
        <v>0.92600000000000204</v>
      </c>
    </row>
    <row r="161" spans="1:9" x14ac:dyDescent="0.2">
      <c r="A161" t="s">
        <v>81</v>
      </c>
      <c r="B161" t="s">
        <v>1063</v>
      </c>
      <c r="C161" t="s">
        <v>1001</v>
      </c>
      <c r="E161">
        <v>110.161</v>
      </c>
      <c r="F161">
        <v>109.288</v>
      </c>
      <c r="G161">
        <v>72.899600000000007</v>
      </c>
      <c r="H161">
        <v>1.1963999999999999</v>
      </c>
      <c r="I161">
        <v>0.87300000000000466</v>
      </c>
    </row>
    <row r="162" spans="1:9" x14ac:dyDescent="0.2">
      <c r="A162" t="s">
        <v>493</v>
      </c>
      <c r="B162" t="s">
        <v>1064</v>
      </c>
      <c r="C162" t="s">
        <v>926</v>
      </c>
      <c r="E162">
        <v>111.43</v>
      </c>
      <c r="F162">
        <v>110.62</v>
      </c>
      <c r="G162">
        <v>67.628900000000002</v>
      </c>
      <c r="H162">
        <v>-0.16819999999999999</v>
      </c>
      <c r="I162">
        <v>0.81000000000000227</v>
      </c>
    </row>
    <row r="163" spans="1:9" x14ac:dyDescent="0.2">
      <c r="A163" t="s">
        <v>317</v>
      </c>
      <c r="B163" t="s">
        <v>1065</v>
      </c>
      <c r="C163" t="s">
        <v>896</v>
      </c>
      <c r="E163">
        <v>106.664</v>
      </c>
      <c r="F163">
        <v>105.943</v>
      </c>
      <c r="G163">
        <v>66.963499999999996</v>
      </c>
      <c r="H163">
        <v>0.59030000000000005</v>
      </c>
      <c r="I163">
        <v>0.72100000000000364</v>
      </c>
    </row>
    <row r="164" spans="1:9" x14ac:dyDescent="0.2">
      <c r="A164" t="s">
        <v>209</v>
      </c>
      <c r="B164" t="s">
        <v>1066</v>
      </c>
      <c r="C164" t="s">
        <v>881</v>
      </c>
      <c r="E164">
        <v>107.85599999999999</v>
      </c>
      <c r="F164">
        <v>107.253</v>
      </c>
      <c r="G164">
        <v>70.694400000000002</v>
      </c>
      <c r="H164">
        <v>6.2735000000000003</v>
      </c>
      <c r="I164">
        <v>0.60299999999999443</v>
      </c>
    </row>
    <row r="165" spans="1:9" x14ac:dyDescent="0.2">
      <c r="A165" t="s">
        <v>459</v>
      </c>
      <c r="B165" t="s">
        <v>1067</v>
      </c>
      <c r="C165" t="s">
        <v>973</v>
      </c>
      <c r="E165">
        <v>107.71299999999999</v>
      </c>
      <c r="F165">
        <v>107.126</v>
      </c>
      <c r="G165">
        <v>69.218400000000003</v>
      </c>
      <c r="H165">
        <v>-1.2568999999999999</v>
      </c>
      <c r="I165">
        <v>0.58699999999998909</v>
      </c>
    </row>
    <row r="166" spans="1:9" x14ac:dyDescent="0.2">
      <c r="A166" t="s">
        <v>587</v>
      </c>
      <c r="B166" t="s">
        <v>1068</v>
      </c>
      <c r="C166" t="s">
        <v>940</v>
      </c>
      <c r="E166">
        <v>111.827</v>
      </c>
      <c r="F166">
        <v>111.349</v>
      </c>
      <c r="G166">
        <v>64.9345</v>
      </c>
      <c r="H166">
        <v>-1.5859000000000001</v>
      </c>
      <c r="I166">
        <v>0.47799999999999437</v>
      </c>
    </row>
    <row r="167" spans="1:9" x14ac:dyDescent="0.2">
      <c r="A167" t="s">
        <v>189</v>
      </c>
      <c r="B167" t="s">
        <v>1069</v>
      </c>
      <c r="C167" t="s">
        <v>926</v>
      </c>
      <c r="E167">
        <v>104.721</v>
      </c>
      <c r="F167">
        <v>104.256</v>
      </c>
      <c r="G167">
        <v>64.357500000000002</v>
      </c>
      <c r="H167">
        <v>-2.1913999999999998</v>
      </c>
      <c r="I167">
        <v>0.46500000000000341</v>
      </c>
    </row>
    <row r="168" spans="1:9" x14ac:dyDescent="0.2">
      <c r="A168" t="s">
        <v>157</v>
      </c>
      <c r="B168" t="s">
        <v>1070</v>
      </c>
      <c r="C168" t="s">
        <v>1071</v>
      </c>
      <c r="E168">
        <v>109.815</v>
      </c>
      <c r="F168">
        <v>109.364</v>
      </c>
      <c r="G168">
        <v>66.062399999999997</v>
      </c>
      <c r="H168">
        <v>-8.0304000000000002</v>
      </c>
      <c r="I168">
        <v>0.45099999999999341</v>
      </c>
    </row>
    <row r="169" spans="1:9" x14ac:dyDescent="0.2">
      <c r="A169" t="s">
        <v>437</v>
      </c>
      <c r="B169" t="s">
        <v>1072</v>
      </c>
      <c r="C169" t="s">
        <v>1040</v>
      </c>
      <c r="E169">
        <v>115.38</v>
      </c>
      <c r="F169">
        <v>115.21</v>
      </c>
      <c r="G169">
        <v>69.819500000000005</v>
      </c>
      <c r="H169">
        <v>-0.16589999999999999</v>
      </c>
      <c r="I169">
        <v>0.17000000000000171</v>
      </c>
    </row>
    <row r="170" spans="1:9" x14ac:dyDescent="0.2">
      <c r="A170" t="s">
        <v>83</v>
      </c>
      <c r="B170" t="s">
        <v>1073</v>
      </c>
      <c r="C170" t="s">
        <v>1001</v>
      </c>
      <c r="E170">
        <v>108.608</v>
      </c>
      <c r="F170">
        <v>108.488</v>
      </c>
      <c r="G170">
        <v>73.713399999999993</v>
      </c>
      <c r="H170">
        <v>-0.2198</v>
      </c>
      <c r="I170">
        <v>0.12000000000000451</v>
      </c>
    </row>
    <row r="171" spans="1:9" x14ac:dyDescent="0.2">
      <c r="A171" t="s">
        <v>167</v>
      </c>
      <c r="B171" t="s">
        <v>1074</v>
      </c>
      <c r="C171" t="s">
        <v>1031</v>
      </c>
      <c r="E171">
        <v>113.229</v>
      </c>
      <c r="F171">
        <v>113.229</v>
      </c>
      <c r="G171">
        <v>67.697299999999998</v>
      </c>
      <c r="H171">
        <v>0.82010000000000005</v>
      </c>
      <c r="I171">
        <v>0</v>
      </c>
    </row>
    <row r="172" spans="1:9" x14ac:dyDescent="0.2">
      <c r="A172" t="s">
        <v>705</v>
      </c>
      <c r="B172" t="s">
        <v>1075</v>
      </c>
      <c r="C172" t="s">
        <v>1003</v>
      </c>
      <c r="E172">
        <v>108.614</v>
      </c>
      <c r="F172">
        <v>108.673</v>
      </c>
      <c r="G172">
        <v>69.8245</v>
      </c>
      <c r="H172">
        <v>-0.92379999999999995</v>
      </c>
      <c r="I172">
        <v>-5.8999999999997499E-2</v>
      </c>
    </row>
    <row r="173" spans="1:9" x14ac:dyDescent="0.2">
      <c r="A173" t="s">
        <v>97</v>
      </c>
      <c r="B173" t="s">
        <v>1076</v>
      </c>
      <c r="C173" t="s">
        <v>980</v>
      </c>
      <c r="E173">
        <v>108.16800000000001</v>
      </c>
      <c r="F173">
        <v>108.38800000000001</v>
      </c>
      <c r="G173">
        <v>67.648700000000005</v>
      </c>
      <c r="H173">
        <v>-2.1282000000000001</v>
      </c>
      <c r="I173">
        <v>-0.21999999999999881</v>
      </c>
    </row>
    <row r="174" spans="1:9" x14ac:dyDescent="0.2">
      <c r="A174" t="s">
        <v>599</v>
      </c>
      <c r="B174" t="s">
        <v>1077</v>
      </c>
      <c r="C174" t="s">
        <v>956</v>
      </c>
      <c r="E174">
        <v>104.98399999999999</v>
      </c>
      <c r="F174">
        <v>105.23399999999999</v>
      </c>
      <c r="G174">
        <v>66.026600000000002</v>
      </c>
      <c r="H174">
        <v>-0.113</v>
      </c>
      <c r="I174">
        <v>-0.25</v>
      </c>
    </row>
    <row r="175" spans="1:9" x14ac:dyDescent="0.2">
      <c r="A175" t="s">
        <v>39</v>
      </c>
      <c r="B175" t="s">
        <v>1078</v>
      </c>
      <c r="C175" t="s">
        <v>1055</v>
      </c>
      <c r="E175">
        <v>108.148</v>
      </c>
      <c r="F175">
        <v>108.432</v>
      </c>
      <c r="G175">
        <v>69.406700000000001</v>
      </c>
      <c r="H175">
        <v>-6.6279000000000003</v>
      </c>
      <c r="I175">
        <v>-0.28400000000000603</v>
      </c>
    </row>
    <row r="176" spans="1:9" x14ac:dyDescent="0.2">
      <c r="A176" t="s">
        <v>275</v>
      </c>
      <c r="B176" t="s">
        <v>1079</v>
      </c>
      <c r="C176" t="s">
        <v>1003</v>
      </c>
      <c r="E176">
        <v>110.56699999999999</v>
      </c>
      <c r="F176">
        <v>111.03100000000001</v>
      </c>
      <c r="G176">
        <v>71.489699999999999</v>
      </c>
      <c r="H176">
        <v>-2.4975000000000001</v>
      </c>
      <c r="I176">
        <v>-0.46400000000001279</v>
      </c>
    </row>
    <row r="177" spans="1:9" x14ac:dyDescent="0.2">
      <c r="A177" t="s">
        <v>429</v>
      </c>
      <c r="B177" t="s">
        <v>1080</v>
      </c>
      <c r="C177" t="s">
        <v>1040</v>
      </c>
      <c r="E177">
        <v>109.70699999999999</v>
      </c>
      <c r="F177">
        <v>110.307</v>
      </c>
      <c r="G177">
        <v>70.216700000000003</v>
      </c>
      <c r="H177">
        <v>-4.4287999999999998</v>
      </c>
      <c r="I177">
        <v>-0.60000000000000853</v>
      </c>
    </row>
    <row r="178" spans="1:9" x14ac:dyDescent="0.2">
      <c r="A178" t="s">
        <v>455</v>
      </c>
      <c r="B178" t="s">
        <v>1081</v>
      </c>
      <c r="C178" t="s">
        <v>896</v>
      </c>
      <c r="E178">
        <v>109.319</v>
      </c>
      <c r="F178">
        <v>109.922</v>
      </c>
      <c r="G178">
        <v>65.134200000000007</v>
      </c>
      <c r="H178">
        <v>3.1204000000000001</v>
      </c>
      <c r="I178">
        <v>-0.60299999999999443</v>
      </c>
    </row>
    <row r="179" spans="1:9" x14ac:dyDescent="0.2">
      <c r="A179" t="s">
        <v>353</v>
      </c>
      <c r="B179" t="s">
        <v>1082</v>
      </c>
      <c r="C179" t="s">
        <v>1003</v>
      </c>
      <c r="E179">
        <v>109.374</v>
      </c>
      <c r="F179">
        <v>110.00700000000001</v>
      </c>
      <c r="G179">
        <v>65.712400000000002</v>
      </c>
      <c r="H179">
        <v>0.80459999999999998</v>
      </c>
      <c r="I179">
        <v>-0.63300000000000978</v>
      </c>
    </row>
    <row r="180" spans="1:9" x14ac:dyDescent="0.2">
      <c r="A180" t="s">
        <v>343</v>
      </c>
      <c r="B180" t="s">
        <v>1083</v>
      </c>
      <c r="C180" t="s">
        <v>1084</v>
      </c>
      <c r="E180">
        <v>106.681</v>
      </c>
      <c r="F180">
        <v>107.51</v>
      </c>
      <c r="G180">
        <v>63.450800000000001</v>
      </c>
      <c r="H180">
        <v>-5.8109000000000002</v>
      </c>
      <c r="I180">
        <v>-0.82900000000000773</v>
      </c>
    </row>
    <row r="181" spans="1:9" x14ac:dyDescent="0.2">
      <c r="A181" t="s">
        <v>367</v>
      </c>
      <c r="B181" t="s">
        <v>1085</v>
      </c>
      <c r="C181" t="s">
        <v>980</v>
      </c>
      <c r="E181">
        <v>106.242</v>
      </c>
      <c r="F181">
        <v>107.15300000000001</v>
      </c>
      <c r="G181">
        <v>67.101200000000006</v>
      </c>
      <c r="H181">
        <v>-2.5998999999999999</v>
      </c>
      <c r="I181">
        <v>-0.91100000000000136</v>
      </c>
    </row>
    <row r="182" spans="1:9" x14ac:dyDescent="0.2">
      <c r="A182" t="s">
        <v>665</v>
      </c>
      <c r="B182" t="s">
        <v>1086</v>
      </c>
      <c r="C182" t="s">
        <v>983</v>
      </c>
      <c r="E182">
        <v>111.04300000000001</v>
      </c>
      <c r="F182">
        <v>112.515</v>
      </c>
      <c r="G182">
        <v>66.087199999999996</v>
      </c>
      <c r="H182">
        <v>0.42820000000000003</v>
      </c>
      <c r="I182">
        <v>-1.471999999999994</v>
      </c>
    </row>
    <row r="183" spans="1:9" x14ac:dyDescent="0.2">
      <c r="A183" t="s">
        <v>483</v>
      </c>
      <c r="B183" t="s">
        <v>1087</v>
      </c>
      <c r="C183" t="s">
        <v>1055</v>
      </c>
      <c r="E183">
        <v>115.92</v>
      </c>
      <c r="F183">
        <v>117.393</v>
      </c>
      <c r="G183">
        <v>69.628200000000007</v>
      </c>
      <c r="H183">
        <v>-5.7012</v>
      </c>
      <c r="I183">
        <v>-1.472999999999999</v>
      </c>
    </row>
    <row r="184" spans="1:9" x14ac:dyDescent="0.2">
      <c r="A184" t="s">
        <v>87</v>
      </c>
      <c r="B184" t="s">
        <v>1088</v>
      </c>
      <c r="C184" t="s">
        <v>980</v>
      </c>
      <c r="E184">
        <v>111.327</v>
      </c>
      <c r="F184">
        <v>112.83</v>
      </c>
      <c r="G184">
        <v>69.761600000000001</v>
      </c>
      <c r="H184">
        <v>0.71440000000000003</v>
      </c>
      <c r="I184">
        <v>-1.5029999999999999</v>
      </c>
    </row>
    <row r="185" spans="1:9" x14ac:dyDescent="0.2">
      <c r="A185" t="s">
        <v>101</v>
      </c>
      <c r="B185" t="s">
        <v>1089</v>
      </c>
      <c r="C185" t="s">
        <v>940</v>
      </c>
      <c r="E185">
        <v>112.861</v>
      </c>
      <c r="F185">
        <v>114.408</v>
      </c>
      <c r="G185">
        <v>63.348300000000002</v>
      </c>
      <c r="H185">
        <v>-0.18140000000000001</v>
      </c>
      <c r="I185">
        <v>-1.546999999999997</v>
      </c>
    </row>
    <row r="186" spans="1:9" x14ac:dyDescent="0.2">
      <c r="A186" t="s">
        <v>393</v>
      </c>
      <c r="B186" t="s">
        <v>1090</v>
      </c>
      <c r="C186" t="s">
        <v>1003</v>
      </c>
      <c r="E186">
        <v>108.863</v>
      </c>
      <c r="F186">
        <v>110.46</v>
      </c>
      <c r="G186">
        <v>66.9084</v>
      </c>
      <c r="H186">
        <v>-1.3666</v>
      </c>
      <c r="I186">
        <v>-1.596999999999994</v>
      </c>
    </row>
    <row r="187" spans="1:9" x14ac:dyDescent="0.2">
      <c r="A187" t="s">
        <v>369</v>
      </c>
      <c r="B187" t="s">
        <v>1091</v>
      </c>
      <c r="C187" t="s">
        <v>1031</v>
      </c>
      <c r="E187">
        <v>106.931</v>
      </c>
      <c r="F187">
        <v>108.61799999999999</v>
      </c>
      <c r="G187">
        <v>69.615200000000002</v>
      </c>
      <c r="H187">
        <v>-0.11119999999999999</v>
      </c>
      <c r="I187">
        <v>-1.6869999999999981</v>
      </c>
    </row>
    <row r="188" spans="1:9" x14ac:dyDescent="0.2">
      <c r="A188" t="s">
        <v>591</v>
      </c>
      <c r="B188" t="s">
        <v>1092</v>
      </c>
      <c r="C188" t="s">
        <v>1093</v>
      </c>
      <c r="E188">
        <v>109.268</v>
      </c>
      <c r="F188">
        <v>111.057</v>
      </c>
      <c r="G188">
        <v>70.224599999999995</v>
      </c>
      <c r="H188">
        <v>-8.2448999999999995</v>
      </c>
      <c r="I188">
        <v>-1.7890000000000019</v>
      </c>
    </row>
    <row r="189" spans="1:9" x14ac:dyDescent="0.2">
      <c r="A189" t="s">
        <v>339</v>
      </c>
      <c r="B189" t="s">
        <v>1094</v>
      </c>
      <c r="C189" t="s">
        <v>1071</v>
      </c>
      <c r="E189">
        <v>111.947</v>
      </c>
      <c r="F189">
        <v>113.892</v>
      </c>
      <c r="G189">
        <v>68.941999999999993</v>
      </c>
      <c r="H189">
        <v>-5.3926999999999996</v>
      </c>
      <c r="I189">
        <v>-1.944999999999993</v>
      </c>
    </row>
    <row r="190" spans="1:9" x14ac:dyDescent="0.2">
      <c r="A190" t="s">
        <v>193</v>
      </c>
      <c r="B190" t="s">
        <v>1095</v>
      </c>
      <c r="C190" t="s">
        <v>1071</v>
      </c>
      <c r="E190">
        <v>107.60299999999999</v>
      </c>
      <c r="F190">
        <v>109.559</v>
      </c>
      <c r="G190">
        <v>65.895200000000003</v>
      </c>
      <c r="H190">
        <v>-6.2931999999999997</v>
      </c>
      <c r="I190">
        <v>-1.9560000000000031</v>
      </c>
    </row>
    <row r="191" spans="1:9" x14ac:dyDescent="0.2">
      <c r="A191" t="s">
        <v>121</v>
      </c>
      <c r="B191" t="s">
        <v>1096</v>
      </c>
      <c r="C191" t="s">
        <v>973</v>
      </c>
      <c r="E191">
        <v>108.651</v>
      </c>
      <c r="F191">
        <v>110.61199999999999</v>
      </c>
      <c r="G191">
        <v>66.675399999999996</v>
      </c>
      <c r="H191">
        <v>-3.5003000000000002</v>
      </c>
      <c r="I191">
        <v>-1.9609999999999981</v>
      </c>
    </row>
    <row r="192" spans="1:9" x14ac:dyDescent="0.2">
      <c r="A192" t="s">
        <v>537</v>
      </c>
      <c r="B192" t="s">
        <v>1097</v>
      </c>
      <c r="C192" t="s">
        <v>1084</v>
      </c>
      <c r="E192">
        <v>107.288</v>
      </c>
      <c r="F192">
        <v>109.38</v>
      </c>
      <c r="G192">
        <v>64.665199999999999</v>
      </c>
      <c r="H192">
        <v>-9.4960000000000004</v>
      </c>
      <c r="I192">
        <v>-2.0919999999999992</v>
      </c>
    </row>
    <row r="193" spans="1:9" x14ac:dyDescent="0.2">
      <c r="A193" t="s">
        <v>173</v>
      </c>
      <c r="B193" t="s">
        <v>1098</v>
      </c>
      <c r="C193" t="s">
        <v>1003</v>
      </c>
      <c r="E193">
        <v>107.68899999999999</v>
      </c>
      <c r="F193">
        <v>109.824</v>
      </c>
      <c r="G193">
        <v>71.530199999999994</v>
      </c>
      <c r="H193">
        <v>-1.3086</v>
      </c>
      <c r="I193">
        <v>-2.1350000000000051</v>
      </c>
    </row>
    <row r="194" spans="1:9" x14ac:dyDescent="0.2">
      <c r="A194" t="s">
        <v>395</v>
      </c>
      <c r="B194" t="s">
        <v>1099</v>
      </c>
      <c r="C194" t="s">
        <v>956</v>
      </c>
      <c r="E194">
        <v>109.88800000000001</v>
      </c>
      <c r="F194">
        <v>112.087</v>
      </c>
      <c r="G194">
        <v>69.734700000000004</v>
      </c>
      <c r="H194">
        <v>0.51990000000000003</v>
      </c>
      <c r="I194">
        <v>-2.1989999999999981</v>
      </c>
    </row>
    <row r="195" spans="1:9" x14ac:dyDescent="0.2">
      <c r="A195" t="s">
        <v>639</v>
      </c>
      <c r="B195" t="s">
        <v>1100</v>
      </c>
      <c r="C195" t="s">
        <v>1101</v>
      </c>
      <c r="E195">
        <v>108.26900000000001</v>
      </c>
      <c r="F195">
        <v>110.529</v>
      </c>
      <c r="G195">
        <v>66.195099999999996</v>
      </c>
      <c r="H195">
        <v>-14.9971</v>
      </c>
      <c r="I195">
        <v>-2.2599999999999909</v>
      </c>
    </row>
    <row r="196" spans="1:9" x14ac:dyDescent="0.2">
      <c r="A196" t="s">
        <v>333</v>
      </c>
      <c r="B196" t="s">
        <v>1102</v>
      </c>
      <c r="C196" t="s">
        <v>953</v>
      </c>
      <c r="E196">
        <v>109.429</v>
      </c>
      <c r="F196">
        <v>111.73099999999999</v>
      </c>
      <c r="G196">
        <v>69.923599999999993</v>
      </c>
      <c r="H196">
        <v>-3.9546999999999999</v>
      </c>
      <c r="I196">
        <v>-2.3019999999999921</v>
      </c>
    </row>
    <row r="197" spans="1:9" x14ac:dyDescent="0.2">
      <c r="A197" t="s">
        <v>21</v>
      </c>
      <c r="B197" t="s">
        <v>1103</v>
      </c>
      <c r="C197" t="s">
        <v>1045</v>
      </c>
      <c r="E197">
        <v>106</v>
      </c>
      <c r="F197">
        <v>108.35899999999999</v>
      </c>
      <c r="G197">
        <v>62.996400000000001</v>
      </c>
      <c r="H197">
        <v>-5.5814000000000004</v>
      </c>
      <c r="I197">
        <v>-2.3589999999999951</v>
      </c>
    </row>
    <row r="198" spans="1:9" x14ac:dyDescent="0.2">
      <c r="A198" t="s">
        <v>309</v>
      </c>
      <c r="B198" t="s">
        <v>1104</v>
      </c>
      <c r="C198" t="s">
        <v>1003</v>
      </c>
      <c r="E198">
        <v>102.812</v>
      </c>
      <c r="F198">
        <v>105.41500000000001</v>
      </c>
      <c r="G198">
        <v>64.646299999999997</v>
      </c>
      <c r="H198">
        <v>-3.1798999999999999</v>
      </c>
      <c r="I198">
        <v>-2.6030000000000091</v>
      </c>
    </row>
    <row r="199" spans="1:9" x14ac:dyDescent="0.2">
      <c r="A199" t="s">
        <v>695</v>
      </c>
      <c r="B199" t="s">
        <v>1105</v>
      </c>
      <c r="C199" t="s">
        <v>1031</v>
      </c>
      <c r="E199">
        <v>111.741</v>
      </c>
      <c r="F199">
        <v>114.354</v>
      </c>
      <c r="G199">
        <v>68.5077</v>
      </c>
      <c r="H199">
        <v>-1.9396</v>
      </c>
      <c r="I199">
        <v>-2.613</v>
      </c>
    </row>
    <row r="200" spans="1:9" x14ac:dyDescent="0.2">
      <c r="A200" t="s">
        <v>147</v>
      </c>
      <c r="B200" t="s">
        <v>1106</v>
      </c>
      <c r="C200" t="s">
        <v>959</v>
      </c>
      <c r="E200">
        <v>110.11499999999999</v>
      </c>
      <c r="F200">
        <v>112.73099999999999</v>
      </c>
      <c r="G200">
        <v>67.243899999999996</v>
      </c>
      <c r="H200">
        <v>2.0419</v>
      </c>
      <c r="I200">
        <v>-2.6160000000000001</v>
      </c>
    </row>
    <row r="201" spans="1:9" x14ac:dyDescent="0.2">
      <c r="A201" t="s">
        <v>71</v>
      </c>
      <c r="B201" t="s">
        <v>1107</v>
      </c>
      <c r="C201" t="s">
        <v>953</v>
      </c>
      <c r="E201">
        <v>112.548</v>
      </c>
      <c r="F201">
        <v>115.34399999999999</v>
      </c>
      <c r="G201">
        <v>66.459400000000002</v>
      </c>
      <c r="H201">
        <v>-3.6171000000000002</v>
      </c>
      <c r="I201">
        <v>-2.7959999999999918</v>
      </c>
    </row>
    <row r="202" spans="1:9" x14ac:dyDescent="0.2">
      <c r="A202" t="s">
        <v>297</v>
      </c>
      <c r="B202" t="s">
        <v>1108</v>
      </c>
      <c r="C202" t="s">
        <v>1055</v>
      </c>
      <c r="E202">
        <v>107.074</v>
      </c>
      <c r="F202">
        <v>109.881</v>
      </c>
      <c r="G202">
        <v>69.328599999999994</v>
      </c>
      <c r="H202">
        <v>-5.2183000000000002</v>
      </c>
      <c r="I202">
        <v>-2.8070000000000022</v>
      </c>
    </row>
    <row r="203" spans="1:9" x14ac:dyDescent="0.2">
      <c r="A203" t="s">
        <v>467</v>
      </c>
      <c r="B203" t="s">
        <v>1109</v>
      </c>
      <c r="C203" t="s">
        <v>896</v>
      </c>
      <c r="E203">
        <v>106.22</v>
      </c>
      <c r="F203">
        <v>109.04900000000001</v>
      </c>
      <c r="G203">
        <v>68.467799999999997</v>
      </c>
      <c r="H203">
        <v>3.6755</v>
      </c>
      <c r="I203">
        <v>-2.8290000000000082</v>
      </c>
    </row>
    <row r="204" spans="1:9" x14ac:dyDescent="0.2">
      <c r="A204" t="s">
        <v>253</v>
      </c>
      <c r="B204" t="s">
        <v>1110</v>
      </c>
      <c r="C204" t="s">
        <v>959</v>
      </c>
      <c r="E204">
        <v>106.40900000000001</v>
      </c>
      <c r="F204">
        <v>109.256</v>
      </c>
      <c r="G204">
        <v>68.014899999999997</v>
      </c>
      <c r="H204">
        <v>1.2586999999999999</v>
      </c>
      <c r="I204">
        <v>-2.8469999999999942</v>
      </c>
    </row>
    <row r="205" spans="1:9" x14ac:dyDescent="0.2">
      <c r="A205" t="s">
        <v>363</v>
      </c>
      <c r="B205" t="s">
        <v>1111</v>
      </c>
      <c r="C205" t="s">
        <v>1003</v>
      </c>
      <c r="E205">
        <v>108.67</v>
      </c>
      <c r="F205">
        <v>111.6</v>
      </c>
      <c r="G205">
        <v>65.671000000000006</v>
      </c>
      <c r="H205">
        <v>-1.6317999999999999</v>
      </c>
      <c r="I205">
        <v>-2.9299999999999931</v>
      </c>
    </row>
    <row r="206" spans="1:9" x14ac:dyDescent="0.2">
      <c r="A206" t="s">
        <v>235</v>
      </c>
      <c r="B206" t="s">
        <v>1112</v>
      </c>
      <c r="C206" t="s">
        <v>1113</v>
      </c>
      <c r="E206">
        <v>103.735</v>
      </c>
      <c r="F206">
        <v>106.81100000000001</v>
      </c>
      <c r="G206">
        <v>69.068100000000001</v>
      </c>
      <c r="H206">
        <v>-13.901400000000001</v>
      </c>
      <c r="I206">
        <v>-3.0760000000000081</v>
      </c>
    </row>
    <row r="207" spans="1:9" x14ac:dyDescent="0.2">
      <c r="A207" t="s">
        <v>323</v>
      </c>
      <c r="B207" t="s">
        <v>1114</v>
      </c>
      <c r="C207" t="s">
        <v>1084</v>
      </c>
      <c r="E207">
        <v>99.687200000000004</v>
      </c>
      <c r="F207">
        <v>102.76600000000001</v>
      </c>
      <c r="G207">
        <v>66.339399999999998</v>
      </c>
      <c r="H207">
        <v>-8.9533000000000005</v>
      </c>
      <c r="I207">
        <v>-3.0788000000000011</v>
      </c>
    </row>
    <row r="208" spans="1:9" x14ac:dyDescent="0.2">
      <c r="A208" t="s">
        <v>539</v>
      </c>
      <c r="B208" t="s">
        <v>1115</v>
      </c>
      <c r="C208" t="s">
        <v>1045</v>
      </c>
      <c r="E208">
        <v>107.193</v>
      </c>
      <c r="F208">
        <v>110.354</v>
      </c>
      <c r="G208">
        <v>64.644300000000001</v>
      </c>
      <c r="H208">
        <v>-6.0967000000000002</v>
      </c>
      <c r="I208">
        <v>-3.1610000000000009</v>
      </c>
    </row>
    <row r="209" spans="1:9" x14ac:dyDescent="0.2">
      <c r="A209" t="s">
        <v>327</v>
      </c>
      <c r="B209" t="s">
        <v>1116</v>
      </c>
      <c r="C209" t="s">
        <v>1045</v>
      </c>
      <c r="E209">
        <v>112.164</v>
      </c>
      <c r="F209">
        <v>115.392</v>
      </c>
      <c r="G209">
        <v>69.308800000000005</v>
      </c>
      <c r="H209">
        <v>-4.2857000000000003</v>
      </c>
      <c r="I209">
        <v>-3.227999999999994</v>
      </c>
    </row>
    <row r="210" spans="1:9" x14ac:dyDescent="0.2">
      <c r="A210" t="s">
        <v>265</v>
      </c>
      <c r="B210" t="s">
        <v>1117</v>
      </c>
      <c r="C210" t="s">
        <v>1003</v>
      </c>
      <c r="E210">
        <v>105.318</v>
      </c>
      <c r="F210">
        <v>108.7</v>
      </c>
      <c r="G210">
        <v>65.329800000000006</v>
      </c>
      <c r="H210">
        <v>-2.9722</v>
      </c>
      <c r="I210">
        <v>-3.382000000000005</v>
      </c>
    </row>
    <row r="211" spans="1:9" x14ac:dyDescent="0.2">
      <c r="A211" t="s">
        <v>217</v>
      </c>
      <c r="B211" t="s">
        <v>1118</v>
      </c>
      <c r="C211" t="s">
        <v>1040</v>
      </c>
      <c r="E211">
        <v>112.711</v>
      </c>
      <c r="F211">
        <v>116.197</v>
      </c>
      <c r="G211">
        <v>62.877200000000002</v>
      </c>
      <c r="H211">
        <v>-2.1231</v>
      </c>
      <c r="I211">
        <v>-3.4860000000000042</v>
      </c>
    </row>
    <row r="212" spans="1:9" x14ac:dyDescent="0.2">
      <c r="A212" t="s">
        <v>77</v>
      </c>
      <c r="B212" t="s">
        <v>1119</v>
      </c>
      <c r="C212" t="s">
        <v>1001</v>
      </c>
      <c r="E212">
        <v>109.614</v>
      </c>
      <c r="F212">
        <v>113.258</v>
      </c>
      <c r="G212">
        <v>73.996200000000002</v>
      </c>
      <c r="H212">
        <v>1.2814000000000001</v>
      </c>
      <c r="I212">
        <v>-3.6439999999999908</v>
      </c>
    </row>
    <row r="213" spans="1:9" x14ac:dyDescent="0.2">
      <c r="A213" t="s">
        <v>617</v>
      </c>
      <c r="B213" t="s">
        <v>1120</v>
      </c>
      <c r="C213" t="s">
        <v>940</v>
      </c>
      <c r="E213">
        <v>107.822</v>
      </c>
      <c r="F213">
        <v>111.482</v>
      </c>
      <c r="G213">
        <v>66.892899999999997</v>
      </c>
      <c r="H213">
        <v>0.18609999999999999</v>
      </c>
      <c r="I213">
        <v>-3.659999999999997</v>
      </c>
    </row>
    <row r="214" spans="1:9" x14ac:dyDescent="0.2">
      <c r="A214" t="s">
        <v>521</v>
      </c>
      <c r="B214" t="s">
        <v>1121</v>
      </c>
      <c r="C214" t="s">
        <v>1071</v>
      </c>
      <c r="E214">
        <v>109.813</v>
      </c>
      <c r="F214">
        <v>113.70699999999999</v>
      </c>
      <c r="G214">
        <v>67.249700000000004</v>
      </c>
      <c r="H214">
        <v>-5.9553000000000003</v>
      </c>
      <c r="I214">
        <v>-3.8939999999999908</v>
      </c>
    </row>
    <row r="215" spans="1:9" x14ac:dyDescent="0.2">
      <c r="A215" t="s">
        <v>301</v>
      </c>
      <c r="B215" t="s">
        <v>1122</v>
      </c>
      <c r="C215" t="s">
        <v>1123</v>
      </c>
      <c r="E215">
        <v>105.82599999999999</v>
      </c>
      <c r="F215">
        <v>109.752</v>
      </c>
      <c r="G215">
        <v>67.811899999999994</v>
      </c>
      <c r="H215">
        <v>-9.9815000000000005</v>
      </c>
      <c r="I215">
        <v>-3.9260000000000019</v>
      </c>
    </row>
    <row r="216" spans="1:9" x14ac:dyDescent="0.2">
      <c r="A216" t="s">
        <v>267</v>
      </c>
      <c r="B216" t="s">
        <v>1124</v>
      </c>
      <c r="C216" t="s">
        <v>1045</v>
      </c>
      <c r="E216">
        <v>109.244</v>
      </c>
      <c r="F216">
        <v>113.187</v>
      </c>
      <c r="G216">
        <v>65.995900000000006</v>
      </c>
      <c r="H216">
        <v>-4.9562999999999997</v>
      </c>
      <c r="I216">
        <v>-3.9429999999999978</v>
      </c>
    </row>
    <row r="217" spans="1:9" x14ac:dyDescent="0.2">
      <c r="A217" t="s">
        <v>727</v>
      </c>
      <c r="B217" t="s">
        <v>1125</v>
      </c>
      <c r="C217" t="s">
        <v>1040</v>
      </c>
      <c r="E217">
        <v>105.649</v>
      </c>
      <c r="F217">
        <v>109.604</v>
      </c>
      <c r="G217">
        <v>67.224000000000004</v>
      </c>
      <c r="H217">
        <v>-3.8239000000000001</v>
      </c>
      <c r="I217">
        <v>-3.9549999999999979</v>
      </c>
    </row>
    <row r="218" spans="1:9" x14ac:dyDescent="0.2">
      <c r="A218" t="s">
        <v>145</v>
      </c>
      <c r="B218" t="s">
        <v>1126</v>
      </c>
      <c r="C218" t="s">
        <v>1040</v>
      </c>
      <c r="E218">
        <v>108.10899999999999</v>
      </c>
      <c r="F218">
        <v>112.28400000000001</v>
      </c>
      <c r="G218">
        <v>68.799099999999996</v>
      </c>
      <c r="H218">
        <v>-2.4211999999999998</v>
      </c>
      <c r="I218">
        <v>-4.1750000000000114</v>
      </c>
    </row>
    <row r="219" spans="1:9" x14ac:dyDescent="0.2">
      <c r="A219" t="s">
        <v>561</v>
      </c>
      <c r="B219" t="s">
        <v>1127</v>
      </c>
      <c r="C219" t="s">
        <v>1045</v>
      </c>
      <c r="E219">
        <v>105.393</v>
      </c>
      <c r="F219">
        <v>109.57299999999999</v>
      </c>
      <c r="G219">
        <v>69.297600000000003</v>
      </c>
      <c r="H219">
        <v>-3.7231000000000001</v>
      </c>
      <c r="I219">
        <v>-4.1799999999999926</v>
      </c>
    </row>
    <row r="220" spans="1:9" x14ac:dyDescent="0.2">
      <c r="A220" t="s">
        <v>485</v>
      </c>
      <c r="B220" t="s">
        <v>1128</v>
      </c>
      <c r="C220" t="s">
        <v>1084</v>
      </c>
      <c r="E220">
        <v>104.343</v>
      </c>
      <c r="F220">
        <v>108.61</v>
      </c>
      <c r="G220">
        <v>69.882499999999993</v>
      </c>
      <c r="H220">
        <v>-7.4927999999999999</v>
      </c>
      <c r="I220">
        <v>-4.2669999999999959</v>
      </c>
    </row>
    <row r="221" spans="1:9" x14ac:dyDescent="0.2">
      <c r="A221" t="s">
        <v>547</v>
      </c>
      <c r="B221" t="s">
        <v>1129</v>
      </c>
      <c r="C221" t="s">
        <v>1006</v>
      </c>
      <c r="E221">
        <v>108.199</v>
      </c>
      <c r="F221">
        <v>112.479</v>
      </c>
      <c r="G221">
        <v>66.802199999999999</v>
      </c>
      <c r="H221">
        <v>-3.1030000000000002</v>
      </c>
      <c r="I221">
        <v>-4.2800000000000011</v>
      </c>
    </row>
    <row r="222" spans="1:9" x14ac:dyDescent="0.2">
      <c r="A222" t="s">
        <v>585</v>
      </c>
      <c r="B222" t="s">
        <v>1130</v>
      </c>
      <c r="C222" t="s">
        <v>983</v>
      </c>
      <c r="E222">
        <v>104.395</v>
      </c>
      <c r="F222">
        <v>108.762</v>
      </c>
      <c r="G222">
        <v>69.251099999999994</v>
      </c>
      <c r="H222">
        <v>0.67469999999999997</v>
      </c>
      <c r="I222">
        <v>-4.3670000000000044</v>
      </c>
    </row>
    <row r="223" spans="1:9" x14ac:dyDescent="0.2">
      <c r="A223" t="s">
        <v>149</v>
      </c>
      <c r="B223" t="s">
        <v>1131</v>
      </c>
      <c r="C223" t="s">
        <v>980</v>
      </c>
      <c r="E223">
        <v>102.483</v>
      </c>
      <c r="F223">
        <v>107.253</v>
      </c>
      <c r="G223">
        <v>64.218500000000006</v>
      </c>
      <c r="H223">
        <v>-4.5002000000000004</v>
      </c>
      <c r="I223">
        <v>-4.769999999999996</v>
      </c>
    </row>
    <row r="224" spans="1:9" x14ac:dyDescent="0.2">
      <c r="A224" t="s">
        <v>589</v>
      </c>
      <c r="B224" t="s">
        <v>1132</v>
      </c>
      <c r="C224" t="s">
        <v>1093</v>
      </c>
      <c r="E224">
        <v>100.568</v>
      </c>
      <c r="F224">
        <v>105.411</v>
      </c>
      <c r="G224">
        <v>64.1678</v>
      </c>
      <c r="H224">
        <v>-8.8356999999999992</v>
      </c>
      <c r="I224">
        <v>-4.8430000000000044</v>
      </c>
    </row>
    <row r="225" spans="1:9" x14ac:dyDescent="0.2">
      <c r="A225" t="s">
        <v>529</v>
      </c>
      <c r="B225" t="s">
        <v>1133</v>
      </c>
      <c r="C225" t="s">
        <v>918</v>
      </c>
      <c r="E225">
        <v>112.342</v>
      </c>
      <c r="F225">
        <v>117.254</v>
      </c>
      <c r="G225">
        <v>65.147000000000006</v>
      </c>
      <c r="H225">
        <v>7.2084000000000001</v>
      </c>
      <c r="I225">
        <v>-4.9120000000000061</v>
      </c>
    </row>
    <row r="226" spans="1:9" x14ac:dyDescent="0.2">
      <c r="A226" t="s">
        <v>525</v>
      </c>
      <c r="B226" t="s">
        <v>1134</v>
      </c>
      <c r="C226" t="s">
        <v>896</v>
      </c>
      <c r="E226">
        <v>108.364</v>
      </c>
      <c r="F226">
        <v>113.32599999999999</v>
      </c>
      <c r="G226">
        <v>68.032499999999999</v>
      </c>
      <c r="H226">
        <v>2.2401</v>
      </c>
      <c r="I226">
        <v>-4.9619999999999891</v>
      </c>
    </row>
    <row r="227" spans="1:9" x14ac:dyDescent="0.2">
      <c r="A227" t="s">
        <v>491</v>
      </c>
      <c r="B227" t="s">
        <v>1135</v>
      </c>
      <c r="C227" t="s">
        <v>940</v>
      </c>
      <c r="E227">
        <v>108.69199999999999</v>
      </c>
      <c r="F227">
        <v>113.93899999999999</v>
      </c>
      <c r="G227">
        <v>65.5381</v>
      </c>
      <c r="H227">
        <v>-0.3856</v>
      </c>
      <c r="I227">
        <v>-5.2469999999999999</v>
      </c>
    </row>
    <row r="228" spans="1:9" x14ac:dyDescent="0.2">
      <c r="A228" t="s">
        <v>579</v>
      </c>
      <c r="B228" t="s">
        <v>1136</v>
      </c>
      <c r="C228" t="s">
        <v>980</v>
      </c>
      <c r="E228">
        <v>105.336</v>
      </c>
      <c r="F228">
        <v>110.881</v>
      </c>
      <c r="G228">
        <v>66.270600000000002</v>
      </c>
      <c r="H228">
        <v>-2.9807999999999999</v>
      </c>
      <c r="I228">
        <v>-5.5450000000000017</v>
      </c>
    </row>
    <row r="229" spans="1:9" x14ac:dyDescent="0.2">
      <c r="A229" t="s">
        <v>701</v>
      </c>
      <c r="B229" t="s">
        <v>1137</v>
      </c>
      <c r="C229" t="s">
        <v>1071</v>
      </c>
      <c r="E229">
        <v>109.331</v>
      </c>
      <c r="F229">
        <v>114.89400000000001</v>
      </c>
      <c r="G229">
        <v>67.810199999999995</v>
      </c>
      <c r="H229">
        <v>-4.0179999999999998</v>
      </c>
      <c r="I229">
        <v>-5.5630000000000024</v>
      </c>
    </row>
    <row r="230" spans="1:9" x14ac:dyDescent="0.2">
      <c r="A230" t="s">
        <v>439</v>
      </c>
      <c r="B230" t="s">
        <v>1138</v>
      </c>
      <c r="C230" t="s">
        <v>953</v>
      </c>
      <c r="E230">
        <v>107.94799999999999</v>
      </c>
      <c r="F230">
        <v>113.545</v>
      </c>
      <c r="G230">
        <v>68.813999999999993</v>
      </c>
      <c r="H230">
        <v>-1.3874</v>
      </c>
      <c r="I230">
        <v>-5.5970000000000084</v>
      </c>
    </row>
    <row r="231" spans="1:9" x14ac:dyDescent="0.2">
      <c r="A231" t="s">
        <v>169</v>
      </c>
      <c r="B231" t="s">
        <v>1139</v>
      </c>
      <c r="C231" t="s">
        <v>980</v>
      </c>
      <c r="E231">
        <v>110.236</v>
      </c>
      <c r="F231">
        <v>115.96299999999999</v>
      </c>
      <c r="G231">
        <v>66.829300000000003</v>
      </c>
      <c r="H231">
        <v>-2.4451000000000001</v>
      </c>
      <c r="I231">
        <v>-5.7269999999999897</v>
      </c>
    </row>
    <row r="232" spans="1:9" x14ac:dyDescent="0.2">
      <c r="A232" t="s">
        <v>299</v>
      </c>
      <c r="B232" t="s">
        <v>1140</v>
      </c>
      <c r="C232" t="s">
        <v>1001</v>
      </c>
      <c r="E232">
        <v>105.78700000000001</v>
      </c>
      <c r="F232">
        <v>111.536</v>
      </c>
      <c r="G232">
        <v>68.505399999999995</v>
      </c>
      <c r="H232">
        <v>0.97440000000000004</v>
      </c>
      <c r="I232">
        <v>-5.7489999999999952</v>
      </c>
    </row>
    <row r="233" spans="1:9" x14ac:dyDescent="0.2">
      <c r="A233" t="s">
        <v>551</v>
      </c>
      <c r="B233" t="s">
        <v>1141</v>
      </c>
      <c r="C233" t="s">
        <v>1093</v>
      </c>
      <c r="E233">
        <v>102.331</v>
      </c>
      <c r="F233">
        <v>108.16</v>
      </c>
      <c r="G233">
        <v>68.902100000000004</v>
      </c>
      <c r="H233">
        <v>-8.0512999999999995</v>
      </c>
      <c r="I233">
        <v>-5.8289999999999944</v>
      </c>
    </row>
    <row r="234" spans="1:9" x14ac:dyDescent="0.2">
      <c r="A234" t="s">
        <v>679</v>
      </c>
      <c r="B234" t="s">
        <v>1142</v>
      </c>
      <c r="C234" t="s">
        <v>1101</v>
      </c>
      <c r="E234">
        <v>106.77</v>
      </c>
      <c r="F234">
        <v>112.69</v>
      </c>
      <c r="G234">
        <v>64.862300000000005</v>
      </c>
      <c r="H234">
        <v>-11.514099999999999</v>
      </c>
      <c r="I234">
        <v>-5.9200000000000017</v>
      </c>
    </row>
    <row r="235" spans="1:9" x14ac:dyDescent="0.2">
      <c r="A235" t="s">
        <v>143</v>
      </c>
      <c r="B235" t="s">
        <v>1143</v>
      </c>
      <c r="C235" t="s">
        <v>1006</v>
      </c>
      <c r="E235">
        <v>116.18300000000001</v>
      </c>
      <c r="F235">
        <v>122.10599999999999</v>
      </c>
      <c r="G235">
        <v>67.901300000000006</v>
      </c>
      <c r="H235">
        <v>-1.6447000000000001</v>
      </c>
      <c r="I235">
        <v>-5.9229999999999876</v>
      </c>
    </row>
    <row r="236" spans="1:9" x14ac:dyDescent="0.2">
      <c r="A236" t="s">
        <v>283</v>
      </c>
      <c r="B236" t="s">
        <v>1144</v>
      </c>
      <c r="C236" t="s">
        <v>926</v>
      </c>
      <c r="E236">
        <v>105.751</v>
      </c>
      <c r="F236">
        <v>111.675</v>
      </c>
      <c r="G236">
        <v>65.782399999999996</v>
      </c>
      <c r="H236">
        <v>5.0891000000000002</v>
      </c>
      <c r="I236">
        <v>-5.9239999999999924</v>
      </c>
    </row>
    <row r="237" spans="1:9" x14ac:dyDescent="0.2">
      <c r="A237" t="s">
        <v>205</v>
      </c>
      <c r="B237" t="s">
        <v>1145</v>
      </c>
      <c r="C237" t="s">
        <v>1045</v>
      </c>
      <c r="E237">
        <v>110.36199999999999</v>
      </c>
      <c r="F237">
        <v>116.41200000000001</v>
      </c>
      <c r="G237">
        <v>70.071700000000007</v>
      </c>
      <c r="H237">
        <v>-5.8255999999999997</v>
      </c>
      <c r="I237">
        <v>-6.0500000000000114</v>
      </c>
    </row>
    <row r="238" spans="1:9" x14ac:dyDescent="0.2">
      <c r="A238" t="s">
        <v>1146</v>
      </c>
      <c r="B238" t="s">
        <v>1147</v>
      </c>
      <c r="C238" t="s">
        <v>956</v>
      </c>
      <c r="E238">
        <v>105.923</v>
      </c>
      <c r="F238">
        <v>112.142</v>
      </c>
      <c r="G238">
        <v>68.213999999999999</v>
      </c>
      <c r="H238">
        <v>-0.13270000000000001</v>
      </c>
      <c r="I238">
        <v>-6.2189999999999941</v>
      </c>
    </row>
    <row r="239" spans="1:9" x14ac:dyDescent="0.2">
      <c r="A239" t="s">
        <v>287</v>
      </c>
      <c r="B239" t="s">
        <v>1148</v>
      </c>
      <c r="C239" t="s">
        <v>956</v>
      </c>
      <c r="E239">
        <v>103.244</v>
      </c>
      <c r="F239">
        <v>109.517</v>
      </c>
      <c r="G239">
        <v>65.587699999999998</v>
      </c>
      <c r="H239">
        <v>-2.7492999999999999</v>
      </c>
      <c r="I239">
        <v>-6.2729999999999961</v>
      </c>
    </row>
    <row r="240" spans="1:9" x14ac:dyDescent="0.2">
      <c r="A240" t="s">
        <v>19</v>
      </c>
      <c r="B240" t="s">
        <v>1149</v>
      </c>
      <c r="C240" t="s">
        <v>1043</v>
      </c>
      <c r="E240">
        <v>105.702</v>
      </c>
      <c r="F240">
        <v>112.09</v>
      </c>
      <c r="G240">
        <v>66.683300000000003</v>
      </c>
      <c r="H240">
        <v>-7.9652000000000003</v>
      </c>
      <c r="I240">
        <v>-6.3880000000000052</v>
      </c>
    </row>
    <row r="241" spans="1:9" x14ac:dyDescent="0.2">
      <c r="A241" t="s">
        <v>165</v>
      </c>
      <c r="B241" t="s">
        <v>1150</v>
      </c>
      <c r="C241" t="s">
        <v>953</v>
      </c>
      <c r="E241">
        <v>101.98399999999999</v>
      </c>
      <c r="F241">
        <v>108.376</v>
      </c>
      <c r="G241">
        <v>66.512200000000007</v>
      </c>
      <c r="H241">
        <v>-0.55189999999999995</v>
      </c>
      <c r="I241">
        <v>-6.3920000000000101</v>
      </c>
    </row>
    <row r="242" spans="1:9" x14ac:dyDescent="0.2">
      <c r="A242" t="s">
        <v>99</v>
      </c>
      <c r="B242" t="s">
        <v>1151</v>
      </c>
      <c r="C242" t="s">
        <v>987</v>
      </c>
      <c r="E242">
        <v>105.91800000000001</v>
      </c>
      <c r="F242">
        <v>112.351</v>
      </c>
      <c r="G242">
        <v>71.570599999999999</v>
      </c>
      <c r="H242">
        <v>-6.3959000000000001</v>
      </c>
      <c r="I242">
        <v>-6.4329999999999927</v>
      </c>
    </row>
    <row r="243" spans="1:9" x14ac:dyDescent="0.2">
      <c r="A243" t="s">
        <v>3</v>
      </c>
      <c r="B243" t="s">
        <v>1152</v>
      </c>
      <c r="C243" t="s">
        <v>983</v>
      </c>
      <c r="E243">
        <v>101.264</v>
      </c>
      <c r="F243">
        <v>107.80800000000001</v>
      </c>
      <c r="G243">
        <v>67.853800000000007</v>
      </c>
      <c r="H243">
        <v>0.19370000000000001</v>
      </c>
      <c r="I243">
        <v>-6.5440000000000111</v>
      </c>
    </row>
    <row r="244" spans="1:9" x14ac:dyDescent="0.2">
      <c r="A244" t="s">
        <v>51</v>
      </c>
      <c r="B244" t="s">
        <v>1153</v>
      </c>
      <c r="C244" t="s">
        <v>1154</v>
      </c>
      <c r="E244">
        <v>103.637</v>
      </c>
      <c r="F244">
        <v>110.251</v>
      </c>
      <c r="G244">
        <v>69.0137</v>
      </c>
      <c r="H244">
        <v>-7.2367999999999997</v>
      </c>
      <c r="I244">
        <v>-6.6140000000000043</v>
      </c>
    </row>
    <row r="245" spans="1:9" x14ac:dyDescent="0.2">
      <c r="A245" t="s">
        <v>185</v>
      </c>
      <c r="B245" t="s">
        <v>1155</v>
      </c>
      <c r="C245" t="s">
        <v>1055</v>
      </c>
      <c r="E245">
        <v>105.68300000000001</v>
      </c>
      <c r="F245">
        <v>112.30800000000001</v>
      </c>
      <c r="G245">
        <v>67.554199999999994</v>
      </c>
      <c r="H245">
        <v>-5.9256000000000002</v>
      </c>
      <c r="I245">
        <v>-6.625</v>
      </c>
    </row>
    <row r="246" spans="1:9" x14ac:dyDescent="0.2">
      <c r="A246" t="s">
        <v>605</v>
      </c>
      <c r="B246" t="s">
        <v>1156</v>
      </c>
      <c r="C246" t="s">
        <v>1045</v>
      </c>
      <c r="E246">
        <v>104.113</v>
      </c>
      <c r="F246">
        <v>110.758</v>
      </c>
      <c r="G246">
        <v>66.027000000000001</v>
      </c>
      <c r="H246">
        <v>-6.8761000000000001</v>
      </c>
      <c r="I246">
        <v>-6.644999999999996</v>
      </c>
    </row>
    <row r="247" spans="1:9" x14ac:dyDescent="0.2">
      <c r="A247" t="s">
        <v>643</v>
      </c>
      <c r="B247" t="s">
        <v>1157</v>
      </c>
      <c r="C247" t="s">
        <v>987</v>
      </c>
      <c r="E247">
        <v>104.87</v>
      </c>
      <c r="F247">
        <v>111.599</v>
      </c>
      <c r="G247">
        <v>64.793300000000002</v>
      </c>
      <c r="H247">
        <v>-3.7498999999999998</v>
      </c>
      <c r="I247">
        <v>-6.7289999999999992</v>
      </c>
    </row>
    <row r="248" spans="1:9" x14ac:dyDescent="0.2">
      <c r="A248" t="s">
        <v>113</v>
      </c>
      <c r="B248" t="s">
        <v>1158</v>
      </c>
      <c r="C248" t="s">
        <v>1045</v>
      </c>
      <c r="E248">
        <v>101.917</v>
      </c>
      <c r="F248">
        <v>108.76300000000001</v>
      </c>
      <c r="G248">
        <v>66.837599999999995</v>
      </c>
      <c r="H248">
        <v>-4.9825999999999997</v>
      </c>
      <c r="I248">
        <v>-6.8460000000000036</v>
      </c>
    </row>
    <row r="249" spans="1:9" x14ac:dyDescent="0.2">
      <c r="A249" t="s">
        <v>115</v>
      </c>
      <c r="B249" t="s">
        <v>1159</v>
      </c>
      <c r="C249" t="s">
        <v>1043</v>
      </c>
      <c r="E249">
        <v>107.9</v>
      </c>
      <c r="F249">
        <v>114.893</v>
      </c>
      <c r="G249">
        <v>66.869600000000005</v>
      </c>
      <c r="H249">
        <v>-6.9741999999999997</v>
      </c>
      <c r="I249">
        <v>-6.992999999999995</v>
      </c>
    </row>
    <row r="250" spans="1:9" x14ac:dyDescent="0.2">
      <c r="A250" t="s">
        <v>239</v>
      </c>
      <c r="B250" t="s">
        <v>1160</v>
      </c>
      <c r="C250" t="s">
        <v>1031</v>
      </c>
      <c r="E250">
        <v>109.702</v>
      </c>
      <c r="F250">
        <v>116.702</v>
      </c>
      <c r="G250">
        <v>65.483099999999993</v>
      </c>
      <c r="H250">
        <v>-0.61080000000000001</v>
      </c>
      <c r="I250">
        <v>-7</v>
      </c>
    </row>
    <row r="251" spans="1:9" x14ac:dyDescent="0.2">
      <c r="A251" t="s">
        <v>447</v>
      </c>
      <c r="B251" t="s">
        <v>1161</v>
      </c>
      <c r="C251" t="s">
        <v>1045</v>
      </c>
      <c r="E251">
        <v>106.19199999999999</v>
      </c>
      <c r="F251">
        <v>113.20399999999999</v>
      </c>
      <c r="G251">
        <v>68.980199999999996</v>
      </c>
      <c r="H251">
        <v>-3.1006999999999998</v>
      </c>
      <c r="I251">
        <v>-7.0119999999999996</v>
      </c>
    </row>
    <row r="252" spans="1:9" x14ac:dyDescent="0.2">
      <c r="A252" t="s">
        <v>475</v>
      </c>
      <c r="B252" t="s">
        <v>1162</v>
      </c>
      <c r="C252" t="s">
        <v>973</v>
      </c>
      <c r="E252">
        <v>105.57</v>
      </c>
      <c r="F252">
        <v>112.68600000000001</v>
      </c>
      <c r="G252">
        <v>63.456299999999999</v>
      </c>
      <c r="H252">
        <v>-0.96640000000000004</v>
      </c>
      <c r="I252">
        <v>-7.1160000000000139</v>
      </c>
    </row>
    <row r="253" spans="1:9" x14ac:dyDescent="0.2">
      <c r="A253" t="s">
        <v>563</v>
      </c>
      <c r="B253" t="s">
        <v>1163</v>
      </c>
      <c r="C253" t="s">
        <v>983</v>
      </c>
      <c r="E253">
        <v>106.699</v>
      </c>
      <c r="F253">
        <v>113.828</v>
      </c>
      <c r="G253">
        <v>70.253600000000006</v>
      </c>
      <c r="H253">
        <v>2.1038000000000001</v>
      </c>
      <c r="I253">
        <v>-7.1290000000000049</v>
      </c>
    </row>
    <row r="254" spans="1:9" x14ac:dyDescent="0.2">
      <c r="A254" t="s">
        <v>717</v>
      </c>
      <c r="B254" t="s">
        <v>1164</v>
      </c>
      <c r="C254" t="s">
        <v>1071</v>
      </c>
      <c r="E254">
        <v>109.294</v>
      </c>
      <c r="F254">
        <v>116.637</v>
      </c>
      <c r="G254">
        <v>67.826800000000006</v>
      </c>
      <c r="H254">
        <v>-7.6538000000000004</v>
      </c>
      <c r="I254">
        <v>-7.3430000000000044</v>
      </c>
    </row>
    <row r="255" spans="1:9" x14ac:dyDescent="0.2">
      <c r="A255" t="s">
        <v>155</v>
      </c>
      <c r="B255" t="s">
        <v>1165</v>
      </c>
      <c r="C255" t="s">
        <v>940</v>
      </c>
      <c r="E255">
        <v>103.767</v>
      </c>
      <c r="F255">
        <v>111.193</v>
      </c>
      <c r="G255">
        <v>68.671199999999999</v>
      </c>
      <c r="H255">
        <v>-0.55579999999999996</v>
      </c>
      <c r="I255">
        <v>-7.4260000000000019</v>
      </c>
    </row>
    <row r="256" spans="1:9" x14ac:dyDescent="0.2">
      <c r="A256" t="s">
        <v>517</v>
      </c>
      <c r="B256" t="s">
        <v>1166</v>
      </c>
      <c r="C256" t="s">
        <v>1084</v>
      </c>
      <c r="E256">
        <v>103.128</v>
      </c>
      <c r="F256">
        <v>110.64400000000001</v>
      </c>
      <c r="G256">
        <v>65.518799999999999</v>
      </c>
      <c r="H256">
        <v>-8.0648999999999997</v>
      </c>
      <c r="I256">
        <v>-7.5160000000000053</v>
      </c>
    </row>
    <row r="257" spans="1:9" x14ac:dyDescent="0.2">
      <c r="A257" t="s">
        <v>501</v>
      </c>
      <c r="B257" t="s">
        <v>1167</v>
      </c>
      <c r="C257" t="s">
        <v>1093</v>
      </c>
      <c r="E257">
        <v>99.643299999999996</v>
      </c>
      <c r="F257">
        <v>107.244</v>
      </c>
      <c r="G257">
        <v>64.3827</v>
      </c>
      <c r="H257">
        <v>-10.825699999999999</v>
      </c>
      <c r="I257">
        <v>-7.6007000000000033</v>
      </c>
    </row>
    <row r="258" spans="1:9" x14ac:dyDescent="0.2">
      <c r="A258" t="s">
        <v>487</v>
      </c>
      <c r="B258" t="s">
        <v>1168</v>
      </c>
      <c r="C258" t="s">
        <v>987</v>
      </c>
      <c r="E258">
        <v>106.44</v>
      </c>
      <c r="F258">
        <v>114.10299999999999</v>
      </c>
      <c r="G258">
        <v>70.615700000000004</v>
      </c>
      <c r="H258">
        <v>-7.1814999999999998</v>
      </c>
      <c r="I258">
        <v>-7.6629999999999967</v>
      </c>
    </row>
    <row r="259" spans="1:9" x14ac:dyDescent="0.2">
      <c r="A259" t="s">
        <v>627</v>
      </c>
      <c r="B259" t="s">
        <v>1169</v>
      </c>
      <c r="C259" t="s">
        <v>1001</v>
      </c>
      <c r="E259">
        <v>104.14700000000001</v>
      </c>
      <c r="F259">
        <v>111.86799999999999</v>
      </c>
      <c r="G259">
        <v>68.4666</v>
      </c>
      <c r="H259">
        <v>1.5268999999999999</v>
      </c>
      <c r="I259">
        <v>-7.7209999999999894</v>
      </c>
    </row>
    <row r="260" spans="1:9" x14ac:dyDescent="0.2">
      <c r="A260" t="s">
        <v>255</v>
      </c>
      <c r="B260" t="s">
        <v>1170</v>
      </c>
      <c r="C260" t="s">
        <v>1084</v>
      </c>
      <c r="E260">
        <v>104.11</v>
      </c>
      <c r="F260">
        <v>111.833</v>
      </c>
      <c r="G260">
        <v>68.750299999999996</v>
      </c>
      <c r="H260">
        <v>-8.7015999999999991</v>
      </c>
      <c r="I260">
        <v>-7.722999999999999</v>
      </c>
    </row>
    <row r="261" spans="1:9" x14ac:dyDescent="0.2">
      <c r="A261" t="s">
        <v>481</v>
      </c>
      <c r="B261" t="s">
        <v>1171</v>
      </c>
      <c r="C261" t="s">
        <v>1040</v>
      </c>
      <c r="E261">
        <v>105.50700000000001</v>
      </c>
      <c r="F261">
        <v>113.35</v>
      </c>
      <c r="G261">
        <v>67.684700000000007</v>
      </c>
      <c r="H261">
        <v>-1.8289</v>
      </c>
      <c r="I261">
        <v>-7.8429999999999893</v>
      </c>
    </row>
    <row r="262" spans="1:9" x14ac:dyDescent="0.2">
      <c r="A262" t="s">
        <v>1172</v>
      </c>
      <c r="B262" t="s">
        <v>1173</v>
      </c>
      <c r="C262" t="s">
        <v>1006</v>
      </c>
      <c r="E262">
        <v>106.313</v>
      </c>
      <c r="F262">
        <v>114.295</v>
      </c>
      <c r="G262">
        <v>67.015900000000002</v>
      </c>
      <c r="H262">
        <v>-2.8052000000000001</v>
      </c>
      <c r="I262">
        <v>-7.9819999999999993</v>
      </c>
    </row>
    <row r="263" spans="1:9" x14ac:dyDescent="0.2">
      <c r="A263" t="s">
        <v>59</v>
      </c>
      <c r="B263" t="s">
        <v>1174</v>
      </c>
      <c r="C263" t="s">
        <v>1043</v>
      </c>
      <c r="E263">
        <v>111.895</v>
      </c>
      <c r="F263">
        <v>119.916</v>
      </c>
      <c r="G263">
        <v>63.134300000000003</v>
      </c>
      <c r="H263">
        <v>-8.5792999999999999</v>
      </c>
      <c r="I263">
        <v>-8.0210000000000008</v>
      </c>
    </row>
    <row r="264" spans="1:9" x14ac:dyDescent="0.2">
      <c r="A264" t="s">
        <v>463</v>
      </c>
      <c r="B264" t="s">
        <v>1175</v>
      </c>
      <c r="C264" t="s">
        <v>896</v>
      </c>
      <c r="E264">
        <v>105.42100000000001</v>
      </c>
      <c r="F264">
        <v>113.505</v>
      </c>
      <c r="G264">
        <v>68.6173</v>
      </c>
      <c r="H264">
        <v>2.976</v>
      </c>
      <c r="I264">
        <v>-8.083999999999989</v>
      </c>
    </row>
    <row r="265" spans="1:9" x14ac:dyDescent="0.2">
      <c r="A265" t="s">
        <v>175</v>
      </c>
      <c r="B265" t="s">
        <v>1176</v>
      </c>
      <c r="C265" t="s">
        <v>1084</v>
      </c>
      <c r="E265">
        <v>105.974</v>
      </c>
      <c r="F265">
        <v>114.078</v>
      </c>
      <c r="G265">
        <v>66.960300000000004</v>
      </c>
      <c r="H265">
        <v>-9.6668000000000003</v>
      </c>
      <c r="I265">
        <v>-8.1039999999999992</v>
      </c>
    </row>
    <row r="266" spans="1:9" x14ac:dyDescent="0.2">
      <c r="A266" t="s">
        <v>505</v>
      </c>
      <c r="B266" t="s">
        <v>1177</v>
      </c>
      <c r="C266" t="s">
        <v>1031</v>
      </c>
      <c r="E266">
        <v>106.06100000000001</v>
      </c>
      <c r="F266">
        <v>114.334</v>
      </c>
      <c r="G266">
        <v>71.632499999999993</v>
      </c>
      <c r="H266">
        <v>1.4359999999999999</v>
      </c>
      <c r="I266">
        <v>-8.2729999999999961</v>
      </c>
    </row>
    <row r="267" spans="1:9" x14ac:dyDescent="0.2">
      <c r="A267" t="s">
        <v>295</v>
      </c>
      <c r="B267" t="s">
        <v>1178</v>
      </c>
      <c r="C267" t="s">
        <v>1093</v>
      </c>
      <c r="E267">
        <v>100.663</v>
      </c>
      <c r="F267">
        <v>109.129</v>
      </c>
      <c r="G267">
        <v>72.380099999999999</v>
      </c>
      <c r="H267">
        <v>-8.8414000000000001</v>
      </c>
      <c r="I267">
        <v>-8.4660000000000082</v>
      </c>
    </row>
    <row r="268" spans="1:9" x14ac:dyDescent="0.2">
      <c r="A268" t="s">
        <v>249</v>
      </c>
      <c r="B268" t="s">
        <v>1179</v>
      </c>
      <c r="C268" t="s">
        <v>956</v>
      </c>
      <c r="E268">
        <v>108.95699999999999</v>
      </c>
      <c r="F268">
        <v>117.432</v>
      </c>
      <c r="G268">
        <v>65.499300000000005</v>
      </c>
      <c r="H268">
        <v>-1.5210999999999999</v>
      </c>
      <c r="I268">
        <v>-8.4750000000000085</v>
      </c>
    </row>
    <row r="269" spans="1:9" x14ac:dyDescent="0.2">
      <c r="A269" t="s">
        <v>355</v>
      </c>
      <c r="B269" t="s">
        <v>1180</v>
      </c>
      <c r="C269" t="s">
        <v>1040</v>
      </c>
      <c r="E269">
        <v>106.583</v>
      </c>
      <c r="F269">
        <v>115.46599999999999</v>
      </c>
      <c r="G269">
        <v>67.368300000000005</v>
      </c>
      <c r="H269">
        <v>-1.7008000000000001</v>
      </c>
      <c r="I269">
        <v>-8.8829999999999956</v>
      </c>
    </row>
    <row r="270" spans="1:9" x14ac:dyDescent="0.2">
      <c r="A270" t="s">
        <v>95</v>
      </c>
      <c r="B270" t="s">
        <v>1181</v>
      </c>
      <c r="C270" t="s">
        <v>953</v>
      </c>
      <c r="E270">
        <v>106.02</v>
      </c>
      <c r="F270">
        <v>115.081</v>
      </c>
      <c r="G270">
        <v>67.117800000000003</v>
      </c>
      <c r="H270">
        <v>-1.6333</v>
      </c>
      <c r="I270">
        <v>-9.0610000000000088</v>
      </c>
    </row>
    <row r="271" spans="1:9" x14ac:dyDescent="0.2">
      <c r="A271" t="s">
        <v>473</v>
      </c>
      <c r="B271" t="s">
        <v>1182</v>
      </c>
      <c r="C271" t="s">
        <v>987</v>
      </c>
      <c r="E271">
        <v>103.337</v>
      </c>
      <c r="F271">
        <v>112.4</v>
      </c>
      <c r="G271">
        <v>64.180400000000006</v>
      </c>
      <c r="H271">
        <v>-4.9448999999999996</v>
      </c>
      <c r="I271">
        <v>-9.0630000000000024</v>
      </c>
    </row>
    <row r="272" spans="1:9" x14ac:dyDescent="0.2">
      <c r="A272" t="s">
        <v>303</v>
      </c>
      <c r="B272" t="s">
        <v>1183</v>
      </c>
      <c r="C272" t="s">
        <v>987</v>
      </c>
      <c r="E272">
        <v>103.60899999999999</v>
      </c>
      <c r="F272">
        <v>112.73099999999999</v>
      </c>
      <c r="G272">
        <v>68.430599999999998</v>
      </c>
      <c r="H272">
        <v>-8.4321999999999999</v>
      </c>
      <c r="I272">
        <v>-9.1219999999999999</v>
      </c>
    </row>
    <row r="273" spans="1:9" x14ac:dyDescent="0.2">
      <c r="A273" t="s">
        <v>219</v>
      </c>
      <c r="B273" t="s">
        <v>1184</v>
      </c>
      <c r="C273" t="s">
        <v>980</v>
      </c>
      <c r="E273">
        <v>102.598</v>
      </c>
      <c r="F273">
        <v>111.82899999999999</v>
      </c>
      <c r="G273">
        <v>65.353200000000001</v>
      </c>
      <c r="H273">
        <v>-3.8431999999999999</v>
      </c>
      <c r="I273">
        <v>-9.2309999999999963</v>
      </c>
    </row>
    <row r="274" spans="1:9" x14ac:dyDescent="0.2">
      <c r="A274" t="s">
        <v>707</v>
      </c>
      <c r="B274" t="s">
        <v>1185</v>
      </c>
      <c r="C274" t="s">
        <v>953</v>
      </c>
      <c r="E274">
        <v>107.82599999999999</v>
      </c>
      <c r="F274">
        <v>117.09</v>
      </c>
      <c r="G274">
        <v>67.679199999999994</v>
      </c>
      <c r="H274">
        <v>-1.3557999999999999</v>
      </c>
      <c r="I274">
        <v>-9.26400000000001</v>
      </c>
    </row>
    <row r="275" spans="1:9" x14ac:dyDescent="0.2">
      <c r="A275" t="s">
        <v>131</v>
      </c>
      <c r="B275" t="s">
        <v>1186</v>
      </c>
      <c r="C275" t="s">
        <v>973</v>
      </c>
      <c r="E275">
        <v>104.907</v>
      </c>
      <c r="F275">
        <v>114.271</v>
      </c>
      <c r="G275">
        <v>69.490499999999997</v>
      </c>
      <c r="H275">
        <v>-2.3193000000000001</v>
      </c>
      <c r="I275">
        <v>-9.3640000000000043</v>
      </c>
    </row>
    <row r="276" spans="1:9" x14ac:dyDescent="0.2">
      <c r="A276" t="s">
        <v>559</v>
      </c>
      <c r="B276" t="s">
        <v>1187</v>
      </c>
      <c r="C276" t="s">
        <v>1154</v>
      </c>
      <c r="E276">
        <v>105.25</v>
      </c>
      <c r="F276">
        <v>114.67400000000001</v>
      </c>
      <c r="G276">
        <v>70.2</v>
      </c>
      <c r="H276">
        <v>-5.9882</v>
      </c>
      <c r="I276">
        <v>-9.4240000000000084</v>
      </c>
    </row>
    <row r="277" spans="1:9" x14ac:dyDescent="0.2">
      <c r="A277" t="s">
        <v>411</v>
      </c>
      <c r="B277" t="s">
        <v>1188</v>
      </c>
      <c r="C277" t="s">
        <v>1006</v>
      </c>
      <c r="E277">
        <v>106.98399999999999</v>
      </c>
      <c r="F277">
        <v>116.46899999999999</v>
      </c>
      <c r="G277">
        <v>67.2102</v>
      </c>
      <c r="H277">
        <v>-3.6326000000000001</v>
      </c>
      <c r="I277">
        <v>-9.4849999999999994</v>
      </c>
    </row>
    <row r="278" spans="1:9" x14ac:dyDescent="0.2">
      <c r="A278" t="s">
        <v>659</v>
      </c>
      <c r="B278" t="s">
        <v>1189</v>
      </c>
      <c r="C278" t="s">
        <v>1003</v>
      </c>
      <c r="E278">
        <v>101.027</v>
      </c>
      <c r="F278">
        <v>110.611</v>
      </c>
      <c r="G278">
        <v>65.483800000000002</v>
      </c>
      <c r="H278">
        <v>-0.40510000000000002</v>
      </c>
      <c r="I278">
        <v>-9.5840000000000032</v>
      </c>
    </row>
    <row r="279" spans="1:9" x14ac:dyDescent="0.2">
      <c r="A279" t="s">
        <v>377</v>
      </c>
      <c r="B279" t="s">
        <v>1190</v>
      </c>
      <c r="C279" t="s">
        <v>1084</v>
      </c>
      <c r="E279">
        <v>99.569599999999994</v>
      </c>
      <c r="F279">
        <v>109.191</v>
      </c>
      <c r="G279">
        <v>67.520700000000005</v>
      </c>
      <c r="H279">
        <v>-7.2767999999999997</v>
      </c>
      <c r="I279">
        <v>-9.6214000000000084</v>
      </c>
    </row>
    <row r="280" spans="1:9" x14ac:dyDescent="0.2">
      <c r="A280" t="s">
        <v>47</v>
      </c>
      <c r="B280" t="s">
        <v>1191</v>
      </c>
      <c r="C280" t="s">
        <v>1055</v>
      </c>
      <c r="E280">
        <v>116.633</v>
      </c>
      <c r="F280">
        <v>126.286</v>
      </c>
      <c r="G280">
        <v>64.662999999999997</v>
      </c>
      <c r="H280">
        <v>-4.7911999999999999</v>
      </c>
      <c r="I280">
        <v>-9.6530000000000058</v>
      </c>
    </row>
    <row r="281" spans="1:9" x14ac:dyDescent="0.2">
      <c r="A281" t="s">
        <v>313</v>
      </c>
      <c r="B281" t="s">
        <v>1192</v>
      </c>
      <c r="C281" t="s">
        <v>926</v>
      </c>
      <c r="E281">
        <v>103.471</v>
      </c>
      <c r="F281">
        <v>113.631</v>
      </c>
      <c r="G281">
        <v>65.5227</v>
      </c>
      <c r="H281">
        <v>2.7921</v>
      </c>
      <c r="I281">
        <v>-10.16</v>
      </c>
    </row>
    <row r="282" spans="1:9" x14ac:dyDescent="0.2">
      <c r="A282" t="s">
        <v>431</v>
      </c>
      <c r="B282" t="s">
        <v>1193</v>
      </c>
      <c r="C282" t="s">
        <v>956</v>
      </c>
      <c r="E282">
        <v>102.404</v>
      </c>
      <c r="F282">
        <v>112.589</v>
      </c>
      <c r="G282">
        <v>64.765900000000002</v>
      </c>
      <c r="H282">
        <v>-0.9516</v>
      </c>
      <c r="I282">
        <v>-10.185</v>
      </c>
    </row>
    <row r="283" spans="1:9" x14ac:dyDescent="0.2">
      <c r="A283" t="s">
        <v>545</v>
      </c>
      <c r="B283" t="s">
        <v>1194</v>
      </c>
      <c r="C283" t="s">
        <v>1006</v>
      </c>
      <c r="E283">
        <v>104.447</v>
      </c>
      <c r="F283">
        <v>114.721</v>
      </c>
      <c r="G283">
        <v>69.853200000000001</v>
      </c>
      <c r="H283">
        <v>-5.7541000000000002</v>
      </c>
      <c r="I283">
        <v>-10.273999999999999</v>
      </c>
    </row>
    <row r="284" spans="1:9" x14ac:dyDescent="0.2">
      <c r="A284" t="s">
        <v>373</v>
      </c>
      <c r="B284" t="s">
        <v>1195</v>
      </c>
      <c r="C284" t="s">
        <v>1093</v>
      </c>
      <c r="E284">
        <v>107.02800000000001</v>
      </c>
      <c r="F284">
        <v>117.367</v>
      </c>
      <c r="G284">
        <v>65.364599999999996</v>
      </c>
      <c r="H284">
        <v>-7.0434999999999999</v>
      </c>
      <c r="I284">
        <v>-10.339</v>
      </c>
    </row>
    <row r="285" spans="1:9" x14ac:dyDescent="0.2">
      <c r="A285" t="s">
        <v>291</v>
      </c>
      <c r="B285" t="s">
        <v>1196</v>
      </c>
      <c r="C285" t="s">
        <v>1043</v>
      </c>
      <c r="E285">
        <v>102.869</v>
      </c>
      <c r="F285">
        <v>113.261</v>
      </c>
      <c r="G285">
        <v>66.919300000000007</v>
      </c>
      <c r="H285">
        <v>-8.6533999999999995</v>
      </c>
      <c r="I285">
        <v>-10.391999999999999</v>
      </c>
    </row>
    <row r="286" spans="1:9" x14ac:dyDescent="0.2">
      <c r="A286" t="s">
        <v>553</v>
      </c>
      <c r="B286" t="s">
        <v>1197</v>
      </c>
      <c r="C286" t="s">
        <v>956</v>
      </c>
      <c r="E286">
        <v>99.831000000000003</v>
      </c>
      <c r="F286">
        <v>110.41800000000001</v>
      </c>
      <c r="G286">
        <v>65.492000000000004</v>
      </c>
      <c r="H286">
        <v>-0.93440000000000001</v>
      </c>
      <c r="I286">
        <v>-10.587</v>
      </c>
    </row>
    <row r="287" spans="1:9" x14ac:dyDescent="0.2">
      <c r="A287" t="s">
        <v>419</v>
      </c>
      <c r="B287" t="s">
        <v>1198</v>
      </c>
      <c r="C287" t="s">
        <v>980</v>
      </c>
      <c r="E287">
        <v>107.626</v>
      </c>
      <c r="F287">
        <v>118.227</v>
      </c>
      <c r="G287">
        <v>69.603800000000007</v>
      </c>
      <c r="H287">
        <v>-1.8103</v>
      </c>
      <c r="I287">
        <v>-10.601000000000001</v>
      </c>
    </row>
    <row r="288" spans="1:9" x14ac:dyDescent="0.2">
      <c r="A288" t="s">
        <v>341</v>
      </c>
      <c r="B288" t="s">
        <v>1199</v>
      </c>
      <c r="C288" t="s">
        <v>1123</v>
      </c>
      <c r="E288">
        <v>101.402</v>
      </c>
      <c r="F288">
        <v>112.039</v>
      </c>
      <c r="G288">
        <v>64.823400000000007</v>
      </c>
      <c r="H288">
        <v>-10.8161</v>
      </c>
      <c r="I288">
        <v>-10.637</v>
      </c>
    </row>
    <row r="289" spans="1:9" x14ac:dyDescent="0.2">
      <c r="A289" t="s">
        <v>159</v>
      </c>
      <c r="B289" t="s">
        <v>1200</v>
      </c>
      <c r="C289" t="s">
        <v>956</v>
      </c>
      <c r="E289">
        <v>100.807</v>
      </c>
      <c r="F289">
        <v>111.634</v>
      </c>
      <c r="G289">
        <v>68.187799999999996</v>
      </c>
      <c r="H289">
        <v>-0.86519999999999997</v>
      </c>
      <c r="I289">
        <v>-10.827</v>
      </c>
    </row>
    <row r="290" spans="1:9" x14ac:dyDescent="0.2">
      <c r="A290" t="s">
        <v>65</v>
      </c>
      <c r="B290" t="s">
        <v>1201</v>
      </c>
      <c r="C290" t="s">
        <v>973</v>
      </c>
      <c r="E290">
        <v>98.084800000000001</v>
      </c>
      <c r="F290">
        <v>108.94</v>
      </c>
      <c r="G290">
        <v>66.4756</v>
      </c>
      <c r="H290">
        <v>-3.9895999999999998</v>
      </c>
      <c r="I290">
        <v>-10.8552</v>
      </c>
    </row>
    <row r="291" spans="1:9" x14ac:dyDescent="0.2">
      <c r="A291" t="s">
        <v>405</v>
      </c>
      <c r="B291" t="s">
        <v>1202</v>
      </c>
      <c r="C291" t="s">
        <v>980</v>
      </c>
      <c r="E291">
        <v>105.355</v>
      </c>
      <c r="F291">
        <v>116.339</v>
      </c>
      <c r="G291">
        <v>68.519099999999995</v>
      </c>
      <c r="H291">
        <v>-3.7797999999999998</v>
      </c>
      <c r="I291">
        <v>-10.984</v>
      </c>
    </row>
    <row r="292" spans="1:9" x14ac:dyDescent="0.2">
      <c r="A292" t="s">
        <v>231</v>
      </c>
      <c r="B292" t="s">
        <v>1203</v>
      </c>
      <c r="C292" t="s">
        <v>956</v>
      </c>
      <c r="E292">
        <v>103.03</v>
      </c>
      <c r="F292">
        <v>114.16200000000001</v>
      </c>
      <c r="G292">
        <v>64.401899999999998</v>
      </c>
      <c r="H292">
        <v>-2.4737</v>
      </c>
      <c r="I292">
        <v>-11.132</v>
      </c>
    </row>
    <row r="293" spans="1:9" x14ac:dyDescent="0.2">
      <c r="A293" t="s">
        <v>139</v>
      </c>
      <c r="B293" t="s">
        <v>1204</v>
      </c>
      <c r="C293" t="s">
        <v>1003</v>
      </c>
      <c r="E293">
        <v>104.673</v>
      </c>
      <c r="F293">
        <v>115.896</v>
      </c>
      <c r="G293">
        <v>63.113999999999997</v>
      </c>
      <c r="H293">
        <v>-2.7816999999999998</v>
      </c>
      <c r="I293">
        <v>-11.223000000000001</v>
      </c>
    </row>
    <row r="294" spans="1:9" x14ac:dyDescent="0.2">
      <c r="A294" t="s">
        <v>43</v>
      </c>
      <c r="B294" t="s">
        <v>1205</v>
      </c>
      <c r="C294" t="s">
        <v>953</v>
      </c>
      <c r="E294">
        <v>98.6464</v>
      </c>
      <c r="F294">
        <v>109.96299999999999</v>
      </c>
      <c r="G294">
        <v>63.6892</v>
      </c>
      <c r="H294">
        <v>-4.0726000000000004</v>
      </c>
      <c r="I294">
        <v>-11.31659999999999</v>
      </c>
    </row>
    <row r="295" spans="1:9" x14ac:dyDescent="0.2">
      <c r="A295" t="s">
        <v>263</v>
      </c>
      <c r="B295" t="s">
        <v>1206</v>
      </c>
      <c r="C295" t="s">
        <v>1055</v>
      </c>
      <c r="E295">
        <v>103.217</v>
      </c>
      <c r="F295">
        <v>114.673</v>
      </c>
      <c r="G295">
        <v>63.390700000000002</v>
      </c>
      <c r="H295">
        <v>-4.0838999999999999</v>
      </c>
      <c r="I295">
        <v>-11.456</v>
      </c>
    </row>
    <row r="296" spans="1:9" x14ac:dyDescent="0.2">
      <c r="A296" t="s">
        <v>507</v>
      </c>
      <c r="B296" t="s">
        <v>1207</v>
      </c>
      <c r="C296" t="s">
        <v>1084</v>
      </c>
      <c r="E296">
        <v>107.34099999999999</v>
      </c>
      <c r="F296">
        <v>118.91500000000001</v>
      </c>
      <c r="G296">
        <v>68.447800000000001</v>
      </c>
      <c r="H296">
        <v>-7.5728</v>
      </c>
      <c r="I296">
        <v>-11.574000000000011</v>
      </c>
    </row>
    <row r="297" spans="1:9" x14ac:dyDescent="0.2">
      <c r="A297" t="s">
        <v>163</v>
      </c>
      <c r="B297" t="s">
        <v>1208</v>
      </c>
      <c r="C297" t="s">
        <v>1055</v>
      </c>
      <c r="E297">
        <v>109.259</v>
      </c>
      <c r="F297">
        <v>120.95099999999999</v>
      </c>
      <c r="G297">
        <v>67.298699999999997</v>
      </c>
      <c r="H297">
        <v>-4.12</v>
      </c>
      <c r="I297">
        <v>-11.69199999999999</v>
      </c>
    </row>
    <row r="298" spans="1:9" x14ac:dyDescent="0.2">
      <c r="A298" t="s">
        <v>9</v>
      </c>
      <c r="B298" t="s">
        <v>1209</v>
      </c>
      <c r="C298" t="s">
        <v>1154</v>
      </c>
      <c r="E298">
        <v>104.864</v>
      </c>
      <c r="F298">
        <v>116.572</v>
      </c>
      <c r="G298">
        <v>65.564899999999994</v>
      </c>
      <c r="H298">
        <v>-10.9793</v>
      </c>
      <c r="I298">
        <v>-11.708</v>
      </c>
    </row>
    <row r="299" spans="1:9" x14ac:dyDescent="0.2">
      <c r="A299" t="s">
        <v>289</v>
      </c>
      <c r="B299" t="s">
        <v>1210</v>
      </c>
      <c r="C299" t="s">
        <v>1123</v>
      </c>
      <c r="E299">
        <v>102.134</v>
      </c>
      <c r="F299">
        <v>113.925</v>
      </c>
      <c r="G299">
        <v>69.532300000000006</v>
      </c>
      <c r="H299">
        <v>-10.622299999999999</v>
      </c>
      <c r="I299">
        <v>-11.791</v>
      </c>
    </row>
    <row r="300" spans="1:9" x14ac:dyDescent="0.2">
      <c r="A300" t="s">
        <v>213</v>
      </c>
      <c r="B300" t="s">
        <v>1211</v>
      </c>
      <c r="C300" t="s">
        <v>1154</v>
      </c>
      <c r="E300">
        <v>96.918300000000002</v>
      </c>
      <c r="F300">
        <v>108.748</v>
      </c>
      <c r="G300">
        <v>67.543499999999995</v>
      </c>
      <c r="H300">
        <v>-9.3026</v>
      </c>
      <c r="I300">
        <v>-11.829700000000001</v>
      </c>
    </row>
    <row r="301" spans="1:9" x14ac:dyDescent="0.2">
      <c r="A301" t="s">
        <v>645</v>
      </c>
      <c r="B301" t="s">
        <v>1212</v>
      </c>
      <c r="C301" t="s">
        <v>1071</v>
      </c>
      <c r="E301">
        <v>107.76300000000001</v>
      </c>
      <c r="F301">
        <v>119.962</v>
      </c>
      <c r="G301">
        <v>67.675899999999999</v>
      </c>
      <c r="H301">
        <v>-6.1574999999999998</v>
      </c>
      <c r="I301">
        <v>-12.199</v>
      </c>
    </row>
    <row r="302" spans="1:9" x14ac:dyDescent="0.2">
      <c r="A302" t="s">
        <v>103</v>
      </c>
      <c r="B302" t="s">
        <v>1213</v>
      </c>
      <c r="C302" t="s">
        <v>1071</v>
      </c>
      <c r="E302">
        <v>105.557</v>
      </c>
      <c r="F302">
        <v>117.768</v>
      </c>
      <c r="G302">
        <v>67.221900000000005</v>
      </c>
      <c r="H302">
        <v>-7.0260999999999996</v>
      </c>
      <c r="I302">
        <v>-12.211</v>
      </c>
    </row>
    <row r="303" spans="1:9" x14ac:dyDescent="0.2">
      <c r="A303" t="s">
        <v>471</v>
      </c>
      <c r="B303" t="s">
        <v>1214</v>
      </c>
      <c r="C303" t="s">
        <v>1154</v>
      </c>
      <c r="E303">
        <v>100.824</v>
      </c>
      <c r="F303">
        <v>113.126</v>
      </c>
      <c r="G303">
        <v>71.519499999999994</v>
      </c>
      <c r="H303">
        <v>-9.4710999999999999</v>
      </c>
      <c r="I303">
        <v>-12.30200000000001</v>
      </c>
    </row>
    <row r="304" spans="1:9" x14ac:dyDescent="0.2">
      <c r="A304" t="s">
        <v>653</v>
      </c>
      <c r="B304" t="s">
        <v>1215</v>
      </c>
      <c r="C304" t="s">
        <v>987</v>
      </c>
      <c r="E304">
        <v>99.107600000000005</v>
      </c>
      <c r="F304">
        <v>111.494</v>
      </c>
      <c r="G304">
        <v>67.504900000000006</v>
      </c>
      <c r="H304">
        <v>-5.5789999999999997</v>
      </c>
      <c r="I304">
        <v>-12.3864</v>
      </c>
    </row>
    <row r="305" spans="1:9" x14ac:dyDescent="0.2">
      <c r="A305" t="s">
        <v>575</v>
      </c>
      <c r="B305" t="s">
        <v>1216</v>
      </c>
      <c r="C305" t="s">
        <v>1055</v>
      </c>
      <c r="E305">
        <v>105.413</v>
      </c>
      <c r="F305">
        <v>117.946</v>
      </c>
      <c r="G305">
        <v>66.688699999999997</v>
      </c>
      <c r="H305">
        <v>-3.8871000000000002</v>
      </c>
      <c r="I305">
        <v>-12.532999999999999</v>
      </c>
    </row>
    <row r="306" spans="1:9" x14ac:dyDescent="0.2">
      <c r="A306" t="s">
        <v>697</v>
      </c>
      <c r="B306" t="s">
        <v>1217</v>
      </c>
      <c r="C306" t="s">
        <v>1055</v>
      </c>
      <c r="E306">
        <v>101.742</v>
      </c>
      <c r="F306">
        <v>114.294</v>
      </c>
      <c r="G306">
        <v>69.197199999999995</v>
      </c>
      <c r="H306">
        <v>-6.7004999999999999</v>
      </c>
      <c r="I306">
        <v>-12.551999999999991</v>
      </c>
    </row>
    <row r="307" spans="1:9" x14ac:dyDescent="0.2">
      <c r="A307" t="s">
        <v>687</v>
      </c>
      <c r="B307" t="s">
        <v>1218</v>
      </c>
      <c r="C307" t="s">
        <v>1123</v>
      </c>
      <c r="E307">
        <v>102.68</v>
      </c>
      <c r="F307">
        <v>115.37</v>
      </c>
      <c r="G307">
        <v>65.466999999999999</v>
      </c>
      <c r="H307">
        <v>-9.0337999999999994</v>
      </c>
      <c r="I307">
        <v>-12.69</v>
      </c>
    </row>
    <row r="308" spans="1:9" x14ac:dyDescent="0.2">
      <c r="A308" t="s">
        <v>93</v>
      </c>
      <c r="B308" t="s">
        <v>1219</v>
      </c>
      <c r="C308" t="s">
        <v>1123</v>
      </c>
      <c r="E308">
        <v>104.83199999999999</v>
      </c>
      <c r="F308">
        <v>117.52500000000001</v>
      </c>
      <c r="G308">
        <v>65.070400000000006</v>
      </c>
      <c r="H308">
        <v>-11.120200000000001</v>
      </c>
      <c r="I308">
        <v>-12.69300000000001</v>
      </c>
    </row>
    <row r="309" spans="1:9" x14ac:dyDescent="0.2">
      <c r="A309" t="s">
        <v>171</v>
      </c>
      <c r="B309" t="s">
        <v>1220</v>
      </c>
      <c r="C309" t="s">
        <v>959</v>
      </c>
      <c r="E309">
        <v>102.065</v>
      </c>
      <c r="F309">
        <v>114.92100000000001</v>
      </c>
      <c r="G309">
        <v>66.983199999999997</v>
      </c>
      <c r="H309">
        <v>4.4884000000000004</v>
      </c>
      <c r="I309">
        <v>-12.856000000000011</v>
      </c>
    </row>
    <row r="310" spans="1:9" x14ac:dyDescent="0.2">
      <c r="A310" t="s">
        <v>451</v>
      </c>
      <c r="B310" t="s">
        <v>1221</v>
      </c>
      <c r="C310" t="s">
        <v>1006</v>
      </c>
      <c r="E310">
        <v>102.19</v>
      </c>
      <c r="F310">
        <v>115.065</v>
      </c>
      <c r="G310">
        <v>67.731800000000007</v>
      </c>
      <c r="H310">
        <v>-1.7347999999999999</v>
      </c>
      <c r="I310">
        <v>-12.875</v>
      </c>
    </row>
    <row r="311" spans="1:9" x14ac:dyDescent="0.2">
      <c r="A311" t="s">
        <v>31</v>
      </c>
      <c r="B311" t="s">
        <v>1222</v>
      </c>
      <c r="C311" t="s">
        <v>1093</v>
      </c>
      <c r="E311">
        <v>102.91</v>
      </c>
      <c r="F311">
        <v>115.86499999999999</v>
      </c>
      <c r="G311">
        <v>66.665700000000001</v>
      </c>
      <c r="H311">
        <v>-6.4709000000000003</v>
      </c>
      <c r="I311">
        <v>-12.955</v>
      </c>
    </row>
    <row r="312" spans="1:9" x14ac:dyDescent="0.2">
      <c r="A312" t="s">
        <v>207</v>
      </c>
      <c r="B312" t="s">
        <v>1223</v>
      </c>
      <c r="C312" t="s">
        <v>1045</v>
      </c>
      <c r="E312">
        <v>99.465299999999999</v>
      </c>
      <c r="F312">
        <v>112.443</v>
      </c>
      <c r="G312">
        <v>67.834999999999994</v>
      </c>
      <c r="H312">
        <v>-4.0579999999999998</v>
      </c>
      <c r="I312">
        <v>-12.9777</v>
      </c>
    </row>
    <row r="313" spans="1:9" x14ac:dyDescent="0.2">
      <c r="A313" t="s">
        <v>179</v>
      </c>
      <c r="B313" t="s">
        <v>1224</v>
      </c>
      <c r="C313" t="s">
        <v>1154</v>
      </c>
      <c r="E313">
        <v>98.234099999999998</v>
      </c>
      <c r="F313">
        <v>111.254</v>
      </c>
      <c r="G313">
        <v>68.174999999999997</v>
      </c>
      <c r="H313">
        <v>-8.8987999999999996</v>
      </c>
      <c r="I313">
        <v>-13.01990000000001</v>
      </c>
    </row>
    <row r="314" spans="1:9" x14ac:dyDescent="0.2">
      <c r="A314" t="s">
        <v>307</v>
      </c>
      <c r="B314" t="s">
        <v>1225</v>
      </c>
      <c r="C314" t="s">
        <v>1045</v>
      </c>
      <c r="E314">
        <v>100.279</v>
      </c>
      <c r="F314">
        <v>113.55200000000001</v>
      </c>
      <c r="G314">
        <v>63.238100000000003</v>
      </c>
      <c r="H314">
        <v>-4.5460000000000003</v>
      </c>
      <c r="I314">
        <v>-13.27300000000001</v>
      </c>
    </row>
    <row r="315" spans="1:9" x14ac:dyDescent="0.2">
      <c r="A315" t="s">
        <v>593</v>
      </c>
      <c r="B315" t="s">
        <v>1226</v>
      </c>
      <c r="C315" t="s">
        <v>1093</v>
      </c>
      <c r="E315">
        <v>102.66500000000001</v>
      </c>
      <c r="F315">
        <v>115.999</v>
      </c>
      <c r="G315">
        <v>66.835599999999999</v>
      </c>
      <c r="H315">
        <v>-7.6391999999999998</v>
      </c>
      <c r="I315">
        <v>-13.333999999999991</v>
      </c>
    </row>
    <row r="316" spans="1:9" x14ac:dyDescent="0.2">
      <c r="A316" t="s">
        <v>33</v>
      </c>
      <c r="B316" t="s">
        <v>1227</v>
      </c>
      <c r="C316" t="s">
        <v>1154</v>
      </c>
      <c r="E316">
        <v>104.09399999999999</v>
      </c>
      <c r="F316">
        <v>117.455</v>
      </c>
      <c r="G316">
        <v>68.855000000000004</v>
      </c>
      <c r="H316">
        <v>-5.6398000000000001</v>
      </c>
      <c r="I316">
        <v>-13.361000000000001</v>
      </c>
    </row>
    <row r="317" spans="1:9" x14ac:dyDescent="0.2">
      <c r="A317" t="s">
        <v>603</v>
      </c>
      <c r="B317" t="s">
        <v>1228</v>
      </c>
      <c r="C317" t="s">
        <v>1154</v>
      </c>
      <c r="E317">
        <v>101.78400000000001</v>
      </c>
      <c r="F317">
        <v>115.175</v>
      </c>
      <c r="G317">
        <v>68.711200000000005</v>
      </c>
      <c r="H317">
        <v>-8.7005999999999997</v>
      </c>
      <c r="I317">
        <v>-13.390999999999989</v>
      </c>
    </row>
    <row r="318" spans="1:9" x14ac:dyDescent="0.2">
      <c r="A318" t="s">
        <v>237</v>
      </c>
      <c r="B318" t="s">
        <v>1229</v>
      </c>
      <c r="C318" t="s">
        <v>1040</v>
      </c>
      <c r="E318">
        <v>105.593</v>
      </c>
      <c r="F318">
        <v>119.505</v>
      </c>
      <c r="G318">
        <v>73.216899999999995</v>
      </c>
      <c r="H318">
        <v>-3.4943</v>
      </c>
      <c r="I318">
        <v>-13.91199999999999</v>
      </c>
    </row>
    <row r="319" spans="1:9" x14ac:dyDescent="0.2">
      <c r="A319" t="s">
        <v>13</v>
      </c>
      <c r="B319" t="s">
        <v>1230</v>
      </c>
      <c r="C319" t="s">
        <v>1154</v>
      </c>
      <c r="E319">
        <v>99.354299999999995</v>
      </c>
      <c r="F319">
        <v>113.762</v>
      </c>
      <c r="G319">
        <v>69.488500000000002</v>
      </c>
      <c r="H319">
        <v>-6.8259999999999996</v>
      </c>
      <c r="I319">
        <v>-14.407700000000011</v>
      </c>
    </row>
    <row r="320" spans="1:9" x14ac:dyDescent="0.2">
      <c r="A320" t="s">
        <v>421</v>
      </c>
      <c r="B320" t="s">
        <v>1231</v>
      </c>
      <c r="C320" t="s">
        <v>1031</v>
      </c>
      <c r="E320">
        <v>105.31100000000001</v>
      </c>
      <c r="F320">
        <v>119.75700000000001</v>
      </c>
      <c r="G320">
        <v>63.810200000000002</v>
      </c>
      <c r="H320">
        <v>-1.0650999999999999</v>
      </c>
      <c r="I320">
        <v>-14.446</v>
      </c>
    </row>
    <row r="321" spans="1:9" x14ac:dyDescent="0.2">
      <c r="A321" t="s">
        <v>111</v>
      </c>
      <c r="B321" t="s">
        <v>1232</v>
      </c>
      <c r="C321" t="s">
        <v>1040</v>
      </c>
      <c r="E321">
        <v>109.544</v>
      </c>
      <c r="F321">
        <v>124.17</v>
      </c>
      <c r="G321">
        <v>69.756500000000003</v>
      </c>
      <c r="H321">
        <v>-1.9771000000000001</v>
      </c>
      <c r="I321">
        <v>-14.625999999999999</v>
      </c>
    </row>
    <row r="322" spans="1:9" x14ac:dyDescent="0.2">
      <c r="A322" t="s">
        <v>641</v>
      </c>
      <c r="B322" t="s">
        <v>1233</v>
      </c>
      <c r="C322" t="s">
        <v>1101</v>
      </c>
      <c r="E322">
        <v>102.752</v>
      </c>
      <c r="F322">
        <v>117.393</v>
      </c>
      <c r="G322">
        <v>69.170299999999997</v>
      </c>
      <c r="H322">
        <v>-9.1898999999999997</v>
      </c>
      <c r="I322">
        <v>-14.641</v>
      </c>
    </row>
    <row r="323" spans="1:9" x14ac:dyDescent="0.2">
      <c r="A323" t="s">
        <v>315</v>
      </c>
      <c r="B323" t="s">
        <v>1234</v>
      </c>
      <c r="C323" t="s">
        <v>1043</v>
      </c>
      <c r="E323">
        <v>104.364</v>
      </c>
      <c r="F323">
        <v>119.194</v>
      </c>
      <c r="G323">
        <v>68.212699999999998</v>
      </c>
      <c r="H323">
        <v>-9.2927999999999997</v>
      </c>
      <c r="I323">
        <v>-14.83</v>
      </c>
    </row>
    <row r="324" spans="1:9" x14ac:dyDescent="0.2">
      <c r="A324" t="s">
        <v>161</v>
      </c>
      <c r="B324" t="s">
        <v>1235</v>
      </c>
      <c r="C324" t="s">
        <v>1093</v>
      </c>
      <c r="E324">
        <v>97.015000000000001</v>
      </c>
      <c r="F324">
        <v>111.892</v>
      </c>
      <c r="G324">
        <v>65.659300000000002</v>
      </c>
      <c r="H324">
        <v>-6.1524000000000001</v>
      </c>
      <c r="I324">
        <v>-14.877000000000001</v>
      </c>
    </row>
    <row r="325" spans="1:9" x14ac:dyDescent="0.2">
      <c r="A325" t="s">
        <v>15</v>
      </c>
      <c r="B325" t="s">
        <v>1236</v>
      </c>
      <c r="C325" t="s">
        <v>1101</v>
      </c>
      <c r="E325">
        <v>103.45099999999999</v>
      </c>
      <c r="F325">
        <v>118.374</v>
      </c>
      <c r="G325">
        <v>65.2196</v>
      </c>
      <c r="H325">
        <v>-7.3517999999999999</v>
      </c>
      <c r="I325">
        <v>-14.923</v>
      </c>
    </row>
    <row r="326" spans="1:9" x14ac:dyDescent="0.2">
      <c r="A326" t="s">
        <v>285</v>
      </c>
      <c r="B326" t="s">
        <v>1237</v>
      </c>
      <c r="C326" t="s">
        <v>1043</v>
      </c>
      <c r="E326">
        <v>100.88200000000001</v>
      </c>
      <c r="F326">
        <v>116.099</v>
      </c>
      <c r="G326">
        <v>66.756399999999999</v>
      </c>
      <c r="H326">
        <v>-7.6374000000000004</v>
      </c>
      <c r="I326">
        <v>-15.217000000000001</v>
      </c>
    </row>
    <row r="327" spans="1:9" x14ac:dyDescent="0.2">
      <c r="A327" t="s">
        <v>79</v>
      </c>
      <c r="B327" t="s">
        <v>1238</v>
      </c>
      <c r="C327" t="s">
        <v>1001</v>
      </c>
      <c r="E327">
        <v>102.111</v>
      </c>
      <c r="F327">
        <v>117.39</v>
      </c>
      <c r="G327">
        <v>70.074299999999994</v>
      </c>
      <c r="H327">
        <v>0.4073</v>
      </c>
      <c r="I327">
        <v>-15.279</v>
      </c>
    </row>
    <row r="328" spans="1:9" x14ac:dyDescent="0.2">
      <c r="A328" t="s">
        <v>401</v>
      </c>
      <c r="B328" t="s">
        <v>1239</v>
      </c>
      <c r="C328" t="s">
        <v>1113</v>
      </c>
      <c r="E328">
        <v>101.498</v>
      </c>
      <c r="F328">
        <v>116.88200000000001</v>
      </c>
      <c r="G328">
        <v>68.199700000000007</v>
      </c>
      <c r="H328">
        <v>-11.940899999999999</v>
      </c>
      <c r="I328">
        <v>-15.384</v>
      </c>
    </row>
    <row r="329" spans="1:9" x14ac:dyDescent="0.2">
      <c r="A329" t="s">
        <v>1240</v>
      </c>
      <c r="B329" t="s">
        <v>1241</v>
      </c>
      <c r="C329" t="s">
        <v>1123</v>
      </c>
      <c r="E329">
        <v>96.293700000000001</v>
      </c>
      <c r="F329">
        <v>112.361</v>
      </c>
      <c r="G329">
        <v>63.300600000000003</v>
      </c>
      <c r="H329">
        <v>-9.4558999999999997</v>
      </c>
      <c r="I329">
        <v>-16.067299999999999</v>
      </c>
    </row>
    <row r="330" spans="1:9" x14ac:dyDescent="0.2">
      <c r="A330" t="s">
        <v>229</v>
      </c>
      <c r="B330" t="s">
        <v>1242</v>
      </c>
      <c r="C330" t="s">
        <v>1043</v>
      </c>
      <c r="E330">
        <v>100.964</v>
      </c>
      <c r="F330">
        <v>117.4</v>
      </c>
      <c r="G330">
        <v>65.555700000000002</v>
      </c>
      <c r="H330">
        <v>-7.0860000000000003</v>
      </c>
      <c r="I330">
        <v>-16.436000000000011</v>
      </c>
    </row>
    <row r="331" spans="1:9" x14ac:dyDescent="0.2">
      <c r="A331" t="s">
        <v>321</v>
      </c>
      <c r="B331" t="s">
        <v>1243</v>
      </c>
      <c r="C331" t="s">
        <v>1084</v>
      </c>
      <c r="E331">
        <v>104.538</v>
      </c>
      <c r="F331">
        <v>121.018</v>
      </c>
      <c r="G331">
        <v>67.872699999999995</v>
      </c>
      <c r="H331">
        <v>-8.2216000000000005</v>
      </c>
      <c r="I331">
        <v>-16.48</v>
      </c>
    </row>
    <row r="332" spans="1:9" x14ac:dyDescent="0.2">
      <c r="A332" t="s">
        <v>69</v>
      </c>
      <c r="B332" t="s">
        <v>1244</v>
      </c>
      <c r="C332" t="s">
        <v>1043</v>
      </c>
      <c r="E332">
        <v>98.341300000000004</v>
      </c>
      <c r="F332">
        <v>114.982</v>
      </c>
      <c r="G332">
        <v>66.891499999999994</v>
      </c>
      <c r="H332">
        <v>-6.0015999999999998</v>
      </c>
      <c r="I332">
        <v>-16.640699999999999</v>
      </c>
    </row>
    <row r="333" spans="1:9" x14ac:dyDescent="0.2">
      <c r="A333" t="s">
        <v>1245</v>
      </c>
      <c r="B333" t="s">
        <v>1246</v>
      </c>
      <c r="C333" t="s">
        <v>1101</v>
      </c>
      <c r="E333">
        <v>96.66</v>
      </c>
      <c r="F333">
        <v>113.536</v>
      </c>
      <c r="G333">
        <v>67.835400000000007</v>
      </c>
      <c r="H333">
        <v>-9.2764000000000006</v>
      </c>
      <c r="I333">
        <v>-16.876000000000001</v>
      </c>
    </row>
    <row r="334" spans="1:9" x14ac:dyDescent="0.2">
      <c r="A334" t="s">
        <v>425</v>
      </c>
      <c r="B334" t="s">
        <v>1247</v>
      </c>
      <c r="C334" t="s">
        <v>953</v>
      </c>
      <c r="E334">
        <v>97.122900000000001</v>
      </c>
      <c r="F334">
        <v>114.384</v>
      </c>
      <c r="G334">
        <v>67.444199999999995</v>
      </c>
      <c r="H334">
        <v>-1.1133</v>
      </c>
      <c r="I334">
        <v>-17.261099999999999</v>
      </c>
    </row>
    <row r="335" spans="1:9" x14ac:dyDescent="0.2">
      <c r="A335" t="s">
        <v>577</v>
      </c>
      <c r="B335" t="s">
        <v>1248</v>
      </c>
      <c r="C335" t="s">
        <v>1123</v>
      </c>
      <c r="E335">
        <v>91.875</v>
      </c>
      <c r="F335">
        <v>109.185</v>
      </c>
      <c r="G335">
        <v>66.371899999999997</v>
      </c>
      <c r="H335">
        <v>-10.363</v>
      </c>
      <c r="I335">
        <v>-17.309999999999999</v>
      </c>
    </row>
    <row r="336" spans="1:9" x14ac:dyDescent="0.2">
      <c r="A336" t="s">
        <v>415</v>
      </c>
      <c r="B336" t="s">
        <v>1249</v>
      </c>
      <c r="C336" t="s">
        <v>1055</v>
      </c>
      <c r="E336">
        <v>107.072</v>
      </c>
      <c r="F336">
        <v>124.58799999999999</v>
      </c>
      <c r="G336">
        <v>70.421300000000002</v>
      </c>
      <c r="H336">
        <v>-3.4771000000000001</v>
      </c>
      <c r="I336">
        <v>-17.515999999999991</v>
      </c>
    </row>
    <row r="337" spans="1:9" x14ac:dyDescent="0.2">
      <c r="A337" t="s">
        <v>177</v>
      </c>
      <c r="B337" t="s">
        <v>1250</v>
      </c>
      <c r="C337" t="s">
        <v>1123</v>
      </c>
      <c r="E337">
        <v>100.983</v>
      </c>
      <c r="F337">
        <v>118.599</v>
      </c>
      <c r="G337">
        <v>63.880299999999998</v>
      </c>
      <c r="H337">
        <v>-8.5729000000000006</v>
      </c>
      <c r="I337">
        <v>-17.616</v>
      </c>
    </row>
    <row r="338" spans="1:9" x14ac:dyDescent="0.2">
      <c r="A338" t="s">
        <v>35</v>
      </c>
      <c r="B338" t="s">
        <v>1251</v>
      </c>
      <c r="C338" t="s">
        <v>1043</v>
      </c>
      <c r="E338">
        <v>100.256</v>
      </c>
      <c r="F338">
        <v>118.67</v>
      </c>
      <c r="G338">
        <v>67.100200000000001</v>
      </c>
      <c r="H338">
        <v>-7.8311999999999999</v>
      </c>
      <c r="I338">
        <v>-18.414000000000001</v>
      </c>
    </row>
    <row r="339" spans="1:9" x14ac:dyDescent="0.2">
      <c r="A339" t="s">
        <v>397</v>
      </c>
      <c r="B339" t="s">
        <v>1252</v>
      </c>
      <c r="C339" t="s">
        <v>1084</v>
      </c>
      <c r="E339">
        <v>99.766199999999998</v>
      </c>
      <c r="F339">
        <v>118.25700000000001</v>
      </c>
      <c r="G339">
        <v>62.098700000000001</v>
      </c>
      <c r="H339">
        <v>-8.2571999999999992</v>
      </c>
      <c r="I339">
        <v>-18.490800000000011</v>
      </c>
    </row>
    <row r="340" spans="1:9" x14ac:dyDescent="0.2">
      <c r="A340" t="s">
        <v>557</v>
      </c>
      <c r="B340" t="s">
        <v>1253</v>
      </c>
      <c r="C340" t="s">
        <v>1093</v>
      </c>
      <c r="E340">
        <v>95.679299999999998</v>
      </c>
      <c r="F340">
        <v>114.29</v>
      </c>
      <c r="G340">
        <v>67.528300000000002</v>
      </c>
      <c r="H340">
        <v>-8.2667999999999999</v>
      </c>
      <c r="I340">
        <v>-18.610700000000008</v>
      </c>
    </row>
    <row r="341" spans="1:9" x14ac:dyDescent="0.2">
      <c r="A341" t="s">
        <v>661</v>
      </c>
      <c r="B341" t="s">
        <v>1254</v>
      </c>
      <c r="C341" t="s">
        <v>940</v>
      </c>
      <c r="E341">
        <v>99.763099999999994</v>
      </c>
      <c r="F341">
        <v>118.441</v>
      </c>
      <c r="G341">
        <v>68.589600000000004</v>
      </c>
      <c r="H341">
        <v>1.3742000000000001</v>
      </c>
      <c r="I341">
        <v>-18.677900000000012</v>
      </c>
    </row>
    <row r="342" spans="1:9" x14ac:dyDescent="0.2">
      <c r="A342" t="s">
        <v>261</v>
      </c>
      <c r="B342" t="s">
        <v>1255</v>
      </c>
      <c r="C342" t="s">
        <v>1154</v>
      </c>
      <c r="E342">
        <v>100.04600000000001</v>
      </c>
      <c r="F342">
        <v>119.032</v>
      </c>
      <c r="G342">
        <v>69.433000000000007</v>
      </c>
      <c r="H342">
        <v>-6.4462999999999999</v>
      </c>
      <c r="I342">
        <v>-18.98599999999999</v>
      </c>
    </row>
    <row r="343" spans="1:9" x14ac:dyDescent="0.2">
      <c r="A343" t="s">
        <v>403</v>
      </c>
      <c r="B343" t="s">
        <v>1256</v>
      </c>
      <c r="C343" t="s">
        <v>1055</v>
      </c>
      <c r="E343">
        <v>99.6952</v>
      </c>
      <c r="F343">
        <v>118.93300000000001</v>
      </c>
      <c r="G343">
        <v>64.823599999999999</v>
      </c>
      <c r="H343">
        <v>-4.7563000000000004</v>
      </c>
      <c r="I343">
        <v>-19.237800000000011</v>
      </c>
    </row>
    <row r="344" spans="1:9" x14ac:dyDescent="0.2">
      <c r="A344" t="s">
        <v>89</v>
      </c>
      <c r="B344" t="s">
        <v>1257</v>
      </c>
      <c r="C344" t="s">
        <v>1084</v>
      </c>
      <c r="E344">
        <v>95.404799999999994</v>
      </c>
      <c r="F344">
        <v>114.64400000000001</v>
      </c>
      <c r="G344">
        <v>64.212999999999994</v>
      </c>
      <c r="H344">
        <v>-7.9135999999999997</v>
      </c>
      <c r="I344">
        <v>-19.239200000000011</v>
      </c>
    </row>
    <row r="345" spans="1:9" x14ac:dyDescent="0.2">
      <c r="A345" t="s">
        <v>105</v>
      </c>
      <c r="B345" t="s">
        <v>1258</v>
      </c>
      <c r="C345" t="s">
        <v>1123</v>
      </c>
      <c r="E345">
        <v>99.5672</v>
      </c>
      <c r="F345">
        <v>119.13200000000001</v>
      </c>
      <c r="G345">
        <v>65.343699999999998</v>
      </c>
      <c r="H345">
        <v>-4.5964999999999998</v>
      </c>
      <c r="I345">
        <v>-19.564800000000009</v>
      </c>
    </row>
    <row r="346" spans="1:9" x14ac:dyDescent="0.2">
      <c r="A346" t="s">
        <v>5</v>
      </c>
      <c r="B346" t="s">
        <v>1259</v>
      </c>
      <c r="C346" t="s">
        <v>918</v>
      </c>
      <c r="E346">
        <v>95.744</v>
      </c>
      <c r="F346">
        <v>115.63800000000001</v>
      </c>
      <c r="G346">
        <v>66.322800000000001</v>
      </c>
      <c r="H346">
        <v>5.1062000000000003</v>
      </c>
      <c r="I346">
        <v>-19.894000000000009</v>
      </c>
    </row>
    <row r="347" spans="1:9" x14ac:dyDescent="0.2">
      <c r="A347" t="s">
        <v>609</v>
      </c>
      <c r="B347" t="s">
        <v>1260</v>
      </c>
      <c r="C347" t="s">
        <v>1071</v>
      </c>
      <c r="E347">
        <v>100.827</v>
      </c>
      <c r="F347">
        <v>121.078</v>
      </c>
      <c r="G347">
        <v>64.373000000000005</v>
      </c>
      <c r="H347">
        <v>-5.6698000000000004</v>
      </c>
      <c r="I347">
        <v>-20.251000000000001</v>
      </c>
    </row>
    <row r="348" spans="1:9" x14ac:dyDescent="0.2">
      <c r="A348" t="s">
        <v>319</v>
      </c>
      <c r="B348" t="s">
        <v>1261</v>
      </c>
      <c r="C348" t="s">
        <v>1101</v>
      </c>
      <c r="E348">
        <v>91.739400000000003</v>
      </c>
      <c r="F348">
        <v>112.08199999999999</v>
      </c>
      <c r="G348">
        <v>64.743499999999997</v>
      </c>
      <c r="H348">
        <v>-9.2294999999999998</v>
      </c>
      <c r="I348">
        <v>-20.34259999999999</v>
      </c>
    </row>
    <row r="349" spans="1:9" x14ac:dyDescent="0.2">
      <c r="A349" t="s">
        <v>17</v>
      </c>
      <c r="B349" t="s">
        <v>1262</v>
      </c>
      <c r="C349" t="s">
        <v>1154</v>
      </c>
      <c r="E349">
        <v>96.355900000000005</v>
      </c>
      <c r="F349">
        <v>116.702</v>
      </c>
      <c r="G349">
        <v>67.208699999999993</v>
      </c>
      <c r="H349">
        <v>-5.3708999999999998</v>
      </c>
      <c r="I349">
        <v>-20.3461</v>
      </c>
    </row>
    <row r="350" spans="1:9" x14ac:dyDescent="0.2">
      <c r="A350" t="s">
        <v>389</v>
      </c>
      <c r="B350" t="s">
        <v>1263</v>
      </c>
      <c r="C350" t="s">
        <v>1101</v>
      </c>
      <c r="E350">
        <v>95.377200000000002</v>
      </c>
      <c r="F350">
        <v>116.096</v>
      </c>
      <c r="G350">
        <v>67.477900000000005</v>
      </c>
      <c r="H350">
        <v>-8.1240000000000006</v>
      </c>
      <c r="I350">
        <v>-20.718800000000002</v>
      </c>
    </row>
    <row r="351" spans="1:9" x14ac:dyDescent="0.2">
      <c r="A351" t="s">
        <v>331</v>
      </c>
      <c r="B351" t="s">
        <v>1264</v>
      </c>
      <c r="C351" t="s">
        <v>1113</v>
      </c>
      <c r="E351">
        <v>94.714799999999997</v>
      </c>
      <c r="F351">
        <v>115.589</v>
      </c>
      <c r="G351">
        <v>63.024500000000003</v>
      </c>
      <c r="H351">
        <v>-9.3163</v>
      </c>
      <c r="I351">
        <v>-20.874199999999998</v>
      </c>
    </row>
    <row r="352" spans="1:9" x14ac:dyDescent="0.2">
      <c r="A352" t="s">
        <v>305</v>
      </c>
      <c r="B352" t="s">
        <v>1265</v>
      </c>
      <c r="C352" t="s">
        <v>1045</v>
      </c>
      <c r="E352">
        <v>101.32899999999999</v>
      </c>
      <c r="F352">
        <v>122.387</v>
      </c>
      <c r="G352">
        <v>70.145600000000002</v>
      </c>
      <c r="H352">
        <v>-3.7553000000000001</v>
      </c>
      <c r="I352">
        <v>-21.05800000000001</v>
      </c>
    </row>
    <row r="353" spans="1:9" x14ac:dyDescent="0.2">
      <c r="A353" t="s">
        <v>407</v>
      </c>
      <c r="B353" t="s">
        <v>1266</v>
      </c>
      <c r="C353" t="s">
        <v>1113</v>
      </c>
      <c r="E353">
        <v>100.093</v>
      </c>
      <c r="F353">
        <v>121.614</v>
      </c>
      <c r="G353">
        <v>66.3446</v>
      </c>
      <c r="H353">
        <v>-9.9591999999999992</v>
      </c>
      <c r="I353">
        <v>-21.521000000000001</v>
      </c>
    </row>
    <row r="354" spans="1:9" x14ac:dyDescent="0.2">
      <c r="A354" t="s">
        <v>375</v>
      </c>
      <c r="B354" t="s">
        <v>1267</v>
      </c>
      <c r="C354" t="s">
        <v>1113</v>
      </c>
      <c r="E354">
        <v>99.468000000000004</v>
      </c>
      <c r="F354">
        <v>121.251</v>
      </c>
      <c r="G354">
        <v>70.656599999999997</v>
      </c>
      <c r="H354">
        <v>-12.826499999999999</v>
      </c>
      <c r="I354">
        <v>-21.783000000000001</v>
      </c>
    </row>
    <row r="355" spans="1:9" x14ac:dyDescent="0.2">
      <c r="A355" t="s">
        <v>509</v>
      </c>
      <c r="B355" t="s">
        <v>1268</v>
      </c>
      <c r="C355" t="s">
        <v>1123</v>
      </c>
      <c r="E355">
        <v>99.662400000000005</v>
      </c>
      <c r="F355">
        <v>121.902</v>
      </c>
      <c r="G355">
        <v>69.974900000000005</v>
      </c>
      <c r="H355">
        <v>-6.8085000000000004</v>
      </c>
      <c r="I355">
        <v>-22.239599999999999</v>
      </c>
    </row>
    <row r="356" spans="1:9" x14ac:dyDescent="0.2">
      <c r="A356" t="s">
        <v>67</v>
      </c>
      <c r="B356" t="s">
        <v>1269</v>
      </c>
      <c r="C356" t="s">
        <v>1101</v>
      </c>
      <c r="E356">
        <v>96.715900000000005</v>
      </c>
      <c r="F356">
        <v>119.70099999999999</v>
      </c>
      <c r="G356">
        <v>64.218800000000002</v>
      </c>
      <c r="H356">
        <v>-7.9660000000000002</v>
      </c>
      <c r="I356">
        <v>-22.985099999999989</v>
      </c>
    </row>
    <row r="357" spans="1:9" x14ac:dyDescent="0.2">
      <c r="A357" t="s">
        <v>543</v>
      </c>
      <c r="B357" t="s">
        <v>1270</v>
      </c>
      <c r="C357" t="s">
        <v>1113</v>
      </c>
      <c r="E357">
        <v>95.736699999999999</v>
      </c>
      <c r="F357">
        <v>119.19199999999999</v>
      </c>
      <c r="G357">
        <v>68.4953</v>
      </c>
      <c r="H357">
        <v>-9.2035</v>
      </c>
      <c r="I357">
        <v>-23.455300000000001</v>
      </c>
    </row>
    <row r="358" spans="1:9" x14ac:dyDescent="0.2">
      <c r="A358" t="s">
        <v>495</v>
      </c>
      <c r="B358" t="s">
        <v>1271</v>
      </c>
      <c r="C358" t="s">
        <v>1084</v>
      </c>
      <c r="E358">
        <v>95.826700000000002</v>
      </c>
      <c r="F358">
        <v>120.292</v>
      </c>
      <c r="G358">
        <v>65.784300000000002</v>
      </c>
      <c r="H358">
        <v>-5.0431999999999997</v>
      </c>
      <c r="I358">
        <v>-24.465299999999999</v>
      </c>
    </row>
    <row r="359" spans="1:9" x14ac:dyDescent="0.2">
      <c r="A359" t="s">
        <v>269</v>
      </c>
      <c r="B359" t="s">
        <v>1272</v>
      </c>
      <c r="C359" t="s">
        <v>1006</v>
      </c>
      <c r="E359">
        <v>92.201499999999996</v>
      </c>
      <c r="F359">
        <v>117.273</v>
      </c>
      <c r="G359">
        <v>69.8172</v>
      </c>
      <c r="H359">
        <v>-1.6106</v>
      </c>
      <c r="I359">
        <v>-25.0715</v>
      </c>
    </row>
    <row r="360" spans="1:9" x14ac:dyDescent="0.2">
      <c r="A360" t="s">
        <v>53</v>
      </c>
      <c r="B360" t="s">
        <v>1273</v>
      </c>
      <c r="C360" t="s">
        <v>1101</v>
      </c>
      <c r="E360">
        <v>97.739000000000004</v>
      </c>
      <c r="F360">
        <v>123.232</v>
      </c>
      <c r="G360">
        <v>65.308499999999995</v>
      </c>
      <c r="H360">
        <v>-12.3103</v>
      </c>
      <c r="I360">
        <v>-25.492999999999991</v>
      </c>
    </row>
    <row r="361" spans="1:9" x14ac:dyDescent="0.2">
      <c r="A361" t="s">
        <v>673</v>
      </c>
      <c r="B361" t="s">
        <v>1274</v>
      </c>
      <c r="C361" t="s">
        <v>1071</v>
      </c>
      <c r="E361">
        <v>98.765600000000006</v>
      </c>
      <c r="F361">
        <v>125.02</v>
      </c>
      <c r="G361">
        <v>66.761200000000002</v>
      </c>
      <c r="H361">
        <v>-5.7302</v>
      </c>
      <c r="I361">
        <v>-26.25439999999999</v>
      </c>
    </row>
    <row r="362" spans="1:9" x14ac:dyDescent="0.2">
      <c r="A362" t="s">
        <v>195</v>
      </c>
      <c r="B362" t="s">
        <v>1275</v>
      </c>
      <c r="C362" t="s">
        <v>987</v>
      </c>
      <c r="E362">
        <v>95.721400000000003</v>
      </c>
      <c r="F362">
        <v>122.128</v>
      </c>
      <c r="G362">
        <v>69.216700000000003</v>
      </c>
      <c r="H362">
        <v>-1.2823</v>
      </c>
      <c r="I362">
        <v>-26.406600000000001</v>
      </c>
    </row>
    <row r="363" spans="1:9" x14ac:dyDescent="0.2">
      <c r="A363" t="s">
        <v>141</v>
      </c>
      <c r="B363" t="s">
        <v>1276</v>
      </c>
      <c r="C363" t="s">
        <v>1113</v>
      </c>
      <c r="E363">
        <v>87.553100000000001</v>
      </c>
      <c r="F363">
        <v>114.559</v>
      </c>
      <c r="G363">
        <v>65.655699999999996</v>
      </c>
      <c r="H363">
        <v>-11.293699999999999</v>
      </c>
      <c r="I363">
        <v>-27.0059</v>
      </c>
    </row>
    <row r="364" spans="1:9" x14ac:dyDescent="0.2">
      <c r="A364" t="s">
        <v>125</v>
      </c>
      <c r="B364" t="s">
        <v>1277</v>
      </c>
      <c r="C364" t="s">
        <v>1113</v>
      </c>
      <c r="E364">
        <v>92.1661</v>
      </c>
      <c r="F364">
        <v>119.78100000000001</v>
      </c>
      <c r="G364">
        <v>67.983099999999993</v>
      </c>
      <c r="H364">
        <v>-7.6502999999999997</v>
      </c>
      <c r="I364">
        <v>-27.614900000000009</v>
      </c>
    </row>
    <row r="365" spans="1:9" x14ac:dyDescent="0.2">
      <c r="A365" t="s">
        <v>703</v>
      </c>
      <c r="B365" t="s">
        <v>1278</v>
      </c>
      <c r="C365" t="s">
        <v>1093</v>
      </c>
      <c r="E365">
        <v>92.997799999999998</v>
      </c>
      <c r="F365">
        <v>121.476</v>
      </c>
      <c r="G365">
        <v>66.590199999999996</v>
      </c>
      <c r="H365">
        <v>-7.7210000000000001</v>
      </c>
      <c r="I365">
        <v>-28.478200000000001</v>
      </c>
    </row>
    <row r="366" spans="1:9" x14ac:dyDescent="0.2">
      <c r="A366" t="s">
        <v>361</v>
      </c>
      <c r="B366" t="s">
        <v>1279</v>
      </c>
      <c r="C366" t="s">
        <v>1154</v>
      </c>
      <c r="E366">
        <v>90.434700000000007</v>
      </c>
      <c r="F366">
        <v>121.84099999999999</v>
      </c>
      <c r="G366">
        <v>66.971500000000006</v>
      </c>
      <c r="H366">
        <v>-7.2173999999999996</v>
      </c>
      <c r="I366">
        <v>-31.406299999999991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C727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5" x14ac:dyDescent="0.2"/>
  <cols>
    <col min="1" max="3" width="16" customWidth="1"/>
  </cols>
  <sheetData>
    <row r="1" spans="1:3" x14ac:dyDescent="0.2">
      <c r="A1" s="11" t="s">
        <v>871</v>
      </c>
      <c r="B1" s="11" t="s">
        <v>1280</v>
      </c>
      <c r="C1" s="11" t="s">
        <v>1281</v>
      </c>
    </row>
    <row r="2" spans="1:3" x14ac:dyDescent="0.2">
      <c r="A2" t="s">
        <v>2</v>
      </c>
      <c r="B2">
        <v>0.99466831698919</v>
      </c>
      <c r="C2">
        <v>-5.3316830108098004E-3</v>
      </c>
    </row>
    <row r="3" spans="1:3" x14ac:dyDescent="0.2">
      <c r="A3" t="s">
        <v>1282</v>
      </c>
      <c r="B3">
        <v>1</v>
      </c>
      <c r="C3">
        <v>-1.110223024625156E-16</v>
      </c>
    </row>
    <row r="4" spans="1:3" x14ac:dyDescent="0.2">
      <c r="A4" t="s">
        <v>1283</v>
      </c>
      <c r="B4">
        <v>1</v>
      </c>
      <c r="C4">
        <v>0</v>
      </c>
    </row>
    <row r="5" spans="1:3" x14ac:dyDescent="0.2">
      <c r="A5" t="s">
        <v>4</v>
      </c>
      <c r="B5">
        <v>1.0349498180390311</v>
      </c>
      <c r="C5">
        <v>3.49498180390308E-2</v>
      </c>
    </row>
    <row r="6" spans="1:3" x14ac:dyDescent="0.2">
      <c r="A6" t="s">
        <v>6</v>
      </c>
      <c r="B6">
        <v>1.0472672476008269</v>
      </c>
      <c r="C6">
        <v>4.7267247600826602E-2</v>
      </c>
    </row>
    <row r="7" spans="1:3" x14ac:dyDescent="0.2">
      <c r="A7" t="s">
        <v>8</v>
      </c>
      <c r="B7">
        <v>1.033510542759299</v>
      </c>
      <c r="C7">
        <v>3.3510542759299197E-2</v>
      </c>
    </row>
    <row r="8" spans="1:3" x14ac:dyDescent="0.2">
      <c r="A8" t="s">
        <v>10</v>
      </c>
      <c r="B8">
        <v>0.97820280945905724</v>
      </c>
      <c r="C8">
        <v>-2.1797190540942701E-2</v>
      </c>
    </row>
    <row r="9" spans="1:3" x14ac:dyDescent="0.2">
      <c r="A9" t="s">
        <v>1284</v>
      </c>
      <c r="B9">
        <v>0.95278523492403022</v>
      </c>
      <c r="C9">
        <v>-4.7214765075969702E-2</v>
      </c>
    </row>
    <row r="10" spans="1:3" x14ac:dyDescent="0.2">
      <c r="A10" t="s">
        <v>1285</v>
      </c>
      <c r="B10">
        <v>1</v>
      </c>
      <c r="C10">
        <v>0</v>
      </c>
    </row>
    <row r="11" spans="1:3" x14ac:dyDescent="0.2">
      <c r="A11" t="s">
        <v>1286</v>
      </c>
      <c r="B11">
        <v>1.1293116839114909</v>
      </c>
      <c r="C11">
        <v>0.12931168391149089</v>
      </c>
    </row>
    <row r="12" spans="1:3" x14ac:dyDescent="0.2">
      <c r="A12" t="s">
        <v>1287</v>
      </c>
      <c r="B12">
        <v>1</v>
      </c>
      <c r="C12">
        <v>0</v>
      </c>
    </row>
    <row r="13" spans="1:3" x14ac:dyDescent="0.2">
      <c r="A13" t="s">
        <v>1288</v>
      </c>
      <c r="B13">
        <v>1</v>
      </c>
      <c r="C13">
        <v>0</v>
      </c>
    </row>
    <row r="14" spans="1:3" x14ac:dyDescent="0.2">
      <c r="A14" t="s">
        <v>1289</v>
      </c>
      <c r="B14">
        <v>1</v>
      </c>
      <c r="C14">
        <v>0</v>
      </c>
    </row>
    <row r="15" spans="1:3" x14ac:dyDescent="0.2">
      <c r="A15" t="s">
        <v>1290</v>
      </c>
      <c r="B15">
        <v>1.0439011086986161</v>
      </c>
      <c r="C15">
        <v>4.3901108698616298E-2</v>
      </c>
    </row>
    <row r="16" spans="1:3" x14ac:dyDescent="0.2">
      <c r="A16" t="s">
        <v>1291</v>
      </c>
      <c r="B16">
        <v>1</v>
      </c>
      <c r="C16">
        <v>0</v>
      </c>
    </row>
    <row r="17" spans="1:3" x14ac:dyDescent="0.2">
      <c r="A17" t="s">
        <v>1292</v>
      </c>
      <c r="B17">
        <v>1.0219328825050811</v>
      </c>
      <c r="C17">
        <v>2.19328825050806E-2</v>
      </c>
    </row>
    <row r="18" spans="1:3" x14ac:dyDescent="0.2">
      <c r="A18" t="s">
        <v>1293</v>
      </c>
      <c r="B18">
        <v>1</v>
      </c>
      <c r="C18">
        <v>0</v>
      </c>
    </row>
    <row r="19" spans="1:3" x14ac:dyDescent="0.2">
      <c r="A19" t="s">
        <v>1294</v>
      </c>
      <c r="B19">
        <v>1</v>
      </c>
      <c r="C19">
        <v>0</v>
      </c>
    </row>
    <row r="20" spans="1:3" x14ac:dyDescent="0.2">
      <c r="A20" t="s">
        <v>1295</v>
      </c>
      <c r="B20">
        <v>1</v>
      </c>
      <c r="C20">
        <v>0</v>
      </c>
    </row>
    <row r="21" spans="1:3" x14ac:dyDescent="0.2">
      <c r="A21" t="s">
        <v>1296</v>
      </c>
      <c r="B21">
        <v>0.98290114407956797</v>
      </c>
      <c r="C21">
        <v>-1.70988559204319E-2</v>
      </c>
    </row>
    <row r="22" spans="1:3" x14ac:dyDescent="0.2">
      <c r="A22" t="s">
        <v>24</v>
      </c>
      <c r="B22">
        <v>1.0041729677568949</v>
      </c>
      <c r="C22">
        <v>4.1729677568951001E-3</v>
      </c>
    </row>
    <row r="23" spans="1:3" x14ac:dyDescent="0.2">
      <c r="A23" t="s">
        <v>1297</v>
      </c>
      <c r="B23">
        <v>1</v>
      </c>
      <c r="C23">
        <v>0</v>
      </c>
    </row>
    <row r="24" spans="1:3" x14ac:dyDescent="0.2">
      <c r="A24" t="s">
        <v>26</v>
      </c>
      <c r="B24">
        <v>1.124256257173202</v>
      </c>
      <c r="C24">
        <v>0.1242562571732017</v>
      </c>
    </row>
    <row r="25" spans="1:3" x14ac:dyDescent="0.2">
      <c r="A25" t="s">
        <v>1298</v>
      </c>
      <c r="B25">
        <v>1.082009239878178</v>
      </c>
      <c r="C25">
        <v>8.2009239878178403E-2</v>
      </c>
    </row>
    <row r="26" spans="1:3" x14ac:dyDescent="0.2">
      <c r="A26" t="s">
        <v>1299</v>
      </c>
      <c r="B26">
        <v>1</v>
      </c>
      <c r="C26">
        <v>0</v>
      </c>
    </row>
    <row r="27" spans="1:3" x14ac:dyDescent="0.2">
      <c r="A27" t="s">
        <v>32</v>
      </c>
      <c r="B27">
        <v>1.029634880676835</v>
      </c>
      <c r="C27">
        <v>2.9634880676835298E-2</v>
      </c>
    </row>
    <row r="28" spans="1:3" x14ac:dyDescent="0.2">
      <c r="A28" t="s">
        <v>1300</v>
      </c>
      <c r="B28">
        <v>1</v>
      </c>
      <c r="C28">
        <v>0</v>
      </c>
    </row>
    <row r="29" spans="1:3" x14ac:dyDescent="0.2">
      <c r="A29" t="s">
        <v>1301</v>
      </c>
      <c r="B29">
        <v>0.99219417969163282</v>
      </c>
      <c r="C29">
        <v>-7.8058203083671996E-3</v>
      </c>
    </row>
    <row r="30" spans="1:3" x14ac:dyDescent="0.2">
      <c r="A30" t="s">
        <v>36</v>
      </c>
      <c r="B30">
        <v>1.00887284098069</v>
      </c>
      <c r="C30">
        <v>8.8728409806895E-3</v>
      </c>
    </row>
    <row r="31" spans="1:3" x14ac:dyDescent="0.2">
      <c r="A31" t="s">
        <v>1302</v>
      </c>
      <c r="B31">
        <v>1</v>
      </c>
      <c r="C31">
        <v>0</v>
      </c>
    </row>
    <row r="32" spans="1:3" x14ac:dyDescent="0.2">
      <c r="A32" t="s">
        <v>38</v>
      </c>
      <c r="B32">
        <v>1.0710184884668581</v>
      </c>
      <c r="C32">
        <v>7.1018488466858501E-2</v>
      </c>
    </row>
    <row r="33" spans="1:3" x14ac:dyDescent="0.2">
      <c r="A33" t="s">
        <v>1303</v>
      </c>
      <c r="B33">
        <v>1</v>
      </c>
      <c r="C33">
        <v>0</v>
      </c>
    </row>
    <row r="34" spans="1:3" x14ac:dyDescent="0.2">
      <c r="A34" t="s">
        <v>40</v>
      </c>
      <c r="B34">
        <v>1.0553168778249911</v>
      </c>
      <c r="C34">
        <v>5.5316877824990597E-2</v>
      </c>
    </row>
    <row r="35" spans="1:3" x14ac:dyDescent="0.2">
      <c r="A35" t="s">
        <v>42</v>
      </c>
      <c r="B35">
        <v>1.0666763757675981</v>
      </c>
      <c r="C35">
        <v>6.6676375767597801E-2</v>
      </c>
    </row>
    <row r="36" spans="1:3" x14ac:dyDescent="0.2">
      <c r="A36" t="s">
        <v>1304</v>
      </c>
      <c r="B36">
        <v>1</v>
      </c>
      <c r="C36">
        <v>0</v>
      </c>
    </row>
    <row r="37" spans="1:3" x14ac:dyDescent="0.2">
      <c r="A37" t="s">
        <v>44</v>
      </c>
      <c r="B37">
        <v>0.97436744397127262</v>
      </c>
      <c r="C37">
        <v>-2.5632556028727299E-2</v>
      </c>
    </row>
    <row r="38" spans="1:3" x14ac:dyDescent="0.2">
      <c r="A38" t="s">
        <v>46</v>
      </c>
      <c r="B38">
        <v>0.9936515858513052</v>
      </c>
      <c r="C38">
        <v>-6.3484141486947997E-3</v>
      </c>
    </row>
    <row r="39" spans="1:3" x14ac:dyDescent="0.2">
      <c r="A39" t="s">
        <v>1305</v>
      </c>
      <c r="B39">
        <v>1</v>
      </c>
      <c r="C39">
        <v>0</v>
      </c>
    </row>
    <row r="40" spans="1:3" x14ac:dyDescent="0.2">
      <c r="A40" t="s">
        <v>48</v>
      </c>
      <c r="B40">
        <v>0.96613043562639878</v>
      </c>
      <c r="C40">
        <v>-3.3869564373601099E-2</v>
      </c>
    </row>
    <row r="41" spans="1:3" x14ac:dyDescent="0.2">
      <c r="A41" t="s">
        <v>1306</v>
      </c>
      <c r="B41">
        <v>1</v>
      </c>
      <c r="C41">
        <v>0</v>
      </c>
    </row>
    <row r="42" spans="1:3" x14ac:dyDescent="0.2">
      <c r="A42" t="s">
        <v>1307</v>
      </c>
      <c r="B42">
        <v>1</v>
      </c>
      <c r="C42">
        <v>0</v>
      </c>
    </row>
    <row r="43" spans="1:3" x14ac:dyDescent="0.2">
      <c r="A43" t="s">
        <v>1308</v>
      </c>
      <c r="B43">
        <v>1</v>
      </c>
      <c r="C43">
        <v>-1.110223024625156E-16</v>
      </c>
    </row>
    <row r="44" spans="1:3" x14ac:dyDescent="0.2">
      <c r="A44" t="s">
        <v>1309</v>
      </c>
      <c r="B44">
        <v>1</v>
      </c>
      <c r="C44">
        <v>0</v>
      </c>
    </row>
    <row r="45" spans="1:3" x14ac:dyDescent="0.2">
      <c r="A45" t="s">
        <v>1310</v>
      </c>
      <c r="B45">
        <v>1</v>
      </c>
      <c r="C45">
        <v>0</v>
      </c>
    </row>
    <row r="46" spans="1:3" x14ac:dyDescent="0.2">
      <c r="A46" t="s">
        <v>1311</v>
      </c>
      <c r="B46">
        <v>1.0175328570649509</v>
      </c>
      <c r="C46">
        <v>1.7532857064950599E-2</v>
      </c>
    </row>
    <row r="47" spans="1:3" x14ac:dyDescent="0.2">
      <c r="A47" t="s">
        <v>50</v>
      </c>
      <c r="B47">
        <v>1.058293623980092</v>
      </c>
      <c r="C47">
        <v>5.8293623980091899E-2</v>
      </c>
    </row>
    <row r="48" spans="1:3" x14ac:dyDescent="0.2">
      <c r="A48" t="s">
        <v>52</v>
      </c>
      <c r="B48">
        <v>1.034650659521847</v>
      </c>
      <c r="C48">
        <v>3.4650659521846698E-2</v>
      </c>
    </row>
    <row r="49" spans="1:3" x14ac:dyDescent="0.2">
      <c r="A49" t="s">
        <v>1312</v>
      </c>
      <c r="B49">
        <v>1</v>
      </c>
      <c r="C49">
        <v>0</v>
      </c>
    </row>
    <row r="50" spans="1:3" x14ac:dyDescent="0.2">
      <c r="A50" t="s">
        <v>1313</v>
      </c>
      <c r="B50">
        <v>1</v>
      </c>
      <c r="C50">
        <v>0</v>
      </c>
    </row>
    <row r="51" spans="1:3" x14ac:dyDescent="0.2">
      <c r="A51" t="s">
        <v>1314</v>
      </c>
      <c r="B51">
        <v>1</v>
      </c>
      <c r="C51">
        <v>-1.110223024625156E-16</v>
      </c>
    </row>
    <row r="52" spans="1:3" x14ac:dyDescent="0.2">
      <c r="A52" t="s">
        <v>1315</v>
      </c>
      <c r="B52">
        <v>1</v>
      </c>
      <c r="C52">
        <v>0</v>
      </c>
    </row>
    <row r="53" spans="1:3" x14ac:dyDescent="0.2">
      <c r="A53" t="s">
        <v>1316</v>
      </c>
      <c r="B53">
        <v>1</v>
      </c>
      <c r="C53">
        <v>0</v>
      </c>
    </row>
    <row r="54" spans="1:3" x14ac:dyDescent="0.2">
      <c r="A54" t="s">
        <v>1317</v>
      </c>
      <c r="B54">
        <v>1</v>
      </c>
      <c r="C54">
        <v>0</v>
      </c>
    </row>
    <row r="55" spans="1:3" x14ac:dyDescent="0.2">
      <c r="A55" t="s">
        <v>1318</v>
      </c>
      <c r="B55">
        <v>1</v>
      </c>
      <c r="C55">
        <v>0</v>
      </c>
    </row>
    <row r="56" spans="1:3" x14ac:dyDescent="0.2">
      <c r="A56" t="s">
        <v>1319</v>
      </c>
      <c r="B56">
        <v>1.0279518200998849</v>
      </c>
      <c r="C56">
        <v>2.7951820099885099E-2</v>
      </c>
    </row>
    <row r="57" spans="1:3" x14ac:dyDescent="0.2">
      <c r="A57" t="s">
        <v>56</v>
      </c>
      <c r="B57">
        <v>1.00476805288499</v>
      </c>
      <c r="C57">
        <v>4.7680528849895999E-3</v>
      </c>
    </row>
    <row r="58" spans="1:3" x14ac:dyDescent="0.2">
      <c r="A58" t="s">
        <v>1320</v>
      </c>
      <c r="B58">
        <v>1.033583468558722</v>
      </c>
      <c r="C58">
        <v>3.3583468558721699E-2</v>
      </c>
    </row>
    <row r="59" spans="1:3" x14ac:dyDescent="0.2">
      <c r="A59" t="s">
        <v>1321</v>
      </c>
      <c r="B59">
        <v>1</v>
      </c>
      <c r="C59">
        <v>0</v>
      </c>
    </row>
    <row r="60" spans="1:3" x14ac:dyDescent="0.2">
      <c r="A60" t="s">
        <v>60</v>
      </c>
      <c r="B60">
        <v>1.0138061051630061</v>
      </c>
      <c r="C60">
        <v>1.3806105163006E-2</v>
      </c>
    </row>
    <row r="61" spans="1:3" x14ac:dyDescent="0.2">
      <c r="A61" t="s">
        <v>1322</v>
      </c>
      <c r="B61">
        <v>1</v>
      </c>
      <c r="C61">
        <v>0</v>
      </c>
    </row>
    <row r="62" spans="1:3" x14ac:dyDescent="0.2">
      <c r="A62" t="s">
        <v>62</v>
      </c>
      <c r="B62">
        <v>1.067144163364828</v>
      </c>
      <c r="C62">
        <v>6.7144163364827897E-2</v>
      </c>
    </row>
    <row r="63" spans="1:3" x14ac:dyDescent="0.2">
      <c r="A63" t="s">
        <v>1323</v>
      </c>
      <c r="B63">
        <v>1</v>
      </c>
      <c r="C63">
        <v>0</v>
      </c>
    </row>
    <row r="64" spans="1:3" x14ac:dyDescent="0.2">
      <c r="A64" t="s">
        <v>1324</v>
      </c>
      <c r="B64">
        <v>1</v>
      </c>
      <c r="C64">
        <v>0</v>
      </c>
    </row>
    <row r="65" spans="1:3" x14ac:dyDescent="0.2">
      <c r="A65" t="s">
        <v>1325</v>
      </c>
      <c r="B65">
        <v>1</v>
      </c>
      <c r="C65">
        <v>0</v>
      </c>
    </row>
    <row r="66" spans="1:3" x14ac:dyDescent="0.2">
      <c r="A66" t="s">
        <v>1326</v>
      </c>
      <c r="B66">
        <v>1</v>
      </c>
      <c r="C66">
        <v>0</v>
      </c>
    </row>
    <row r="67" spans="1:3" x14ac:dyDescent="0.2">
      <c r="A67" t="s">
        <v>64</v>
      </c>
      <c r="B67">
        <v>0.94096078358069457</v>
      </c>
      <c r="C67">
        <v>-5.9039216419305401E-2</v>
      </c>
    </row>
    <row r="68" spans="1:3" x14ac:dyDescent="0.2">
      <c r="A68" t="s">
        <v>1327</v>
      </c>
      <c r="B68">
        <v>1</v>
      </c>
      <c r="C68">
        <v>0</v>
      </c>
    </row>
    <row r="69" spans="1:3" x14ac:dyDescent="0.2">
      <c r="A69" t="s">
        <v>1328</v>
      </c>
      <c r="B69">
        <v>1</v>
      </c>
      <c r="C69">
        <v>0</v>
      </c>
    </row>
    <row r="70" spans="1:3" x14ac:dyDescent="0.2">
      <c r="A70" t="s">
        <v>66</v>
      </c>
      <c r="B70">
        <v>1.114795824750298</v>
      </c>
      <c r="C70">
        <v>0.1147958247502984</v>
      </c>
    </row>
    <row r="71" spans="1:3" x14ac:dyDescent="0.2">
      <c r="A71" t="s">
        <v>1329</v>
      </c>
      <c r="B71">
        <v>1</v>
      </c>
      <c r="C71">
        <v>0</v>
      </c>
    </row>
    <row r="72" spans="1:3" x14ac:dyDescent="0.2">
      <c r="A72" t="s">
        <v>68</v>
      </c>
      <c r="B72">
        <v>1.1158549159129001</v>
      </c>
      <c r="C72">
        <v>0.1158549159129003</v>
      </c>
    </row>
    <row r="73" spans="1:3" x14ac:dyDescent="0.2">
      <c r="A73" t="s">
        <v>1330</v>
      </c>
      <c r="B73">
        <v>1</v>
      </c>
      <c r="C73">
        <v>0</v>
      </c>
    </row>
    <row r="74" spans="1:3" x14ac:dyDescent="0.2">
      <c r="A74" t="s">
        <v>70</v>
      </c>
      <c r="B74">
        <v>1.0971033018033081</v>
      </c>
      <c r="C74">
        <v>9.7103301803307604E-2</v>
      </c>
    </row>
    <row r="75" spans="1:3" x14ac:dyDescent="0.2">
      <c r="A75" t="s">
        <v>72</v>
      </c>
      <c r="B75">
        <v>1.0770341709221309</v>
      </c>
      <c r="C75">
        <v>7.7034170922131107E-2</v>
      </c>
    </row>
    <row r="76" spans="1:3" x14ac:dyDescent="0.2">
      <c r="A76" t="s">
        <v>76</v>
      </c>
      <c r="B76">
        <v>0.999200962755185</v>
      </c>
      <c r="C76">
        <v>-7.9903724481500003E-4</v>
      </c>
    </row>
    <row r="77" spans="1:3" x14ac:dyDescent="0.2">
      <c r="A77" t="s">
        <v>1331</v>
      </c>
      <c r="B77">
        <v>1.104910780690852</v>
      </c>
      <c r="C77">
        <v>0.1049107806908524</v>
      </c>
    </row>
    <row r="78" spans="1:3" x14ac:dyDescent="0.2">
      <c r="A78" t="s">
        <v>1332</v>
      </c>
      <c r="B78">
        <v>0.97963522946761583</v>
      </c>
      <c r="C78">
        <v>-2.0364770532384099E-2</v>
      </c>
    </row>
    <row r="79" spans="1:3" x14ac:dyDescent="0.2">
      <c r="A79" t="s">
        <v>1333</v>
      </c>
      <c r="B79">
        <v>1.0327718307346241</v>
      </c>
      <c r="C79">
        <v>3.2771830734624502E-2</v>
      </c>
    </row>
    <row r="80" spans="1:3" x14ac:dyDescent="0.2">
      <c r="A80" t="s">
        <v>1334</v>
      </c>
      <c r="B80">
        <v>1</v>
      </c>
      <c r="C80">
        <v>0</v>
      </c>
    </row>
    <row r="81" spans="1:3" x14ac:dyDescent="0.2">
      <c r="A81" t="s">
        <v>1335</v>
      </c>
      <c r="B81">
        <v>0.90922775933192723</v>
      </c>
      <c r="C81">
        <v>-9.0772240668072796E-2</v>
      </c>
    </row>
    <row r="82" spans="1:3" x14ac:dyDescent="0.2">
      <c r="A82" t="s">
        <v>84</v>
      </c>
      <c r="B82">
        <v>0.96928164139278616</v>
      </c>
      <c r="C82">
        <v>-3.0718358607213801E-2</v>
      </c>
    </row>
    <row r="83" spans="1:3" x14ac:dyDescent="0.2">
      <c r="A83" t="s">
        <v>1336</v>
      </c>
      <c r="B83">
        <v>1</v>
      </c>
      <c r="C83">
        <v>0</v>
      </c>
    </row>
    <row r="84" spans="1:3" x14ac:dyDescent="0.2">
      <c r="A84" t="s">
        <v>1337</v>
      </c>
      <c r="B84">
        <v>1</v>
      </c>
      <c r="C84">
        <v>-1.110223024625156E-16</v>
      </c>
    </row>
    <row r="85" spans="1:3" x14ac:dyDescent="0.2">
      <c r="A85" t="s">
        <v>1338</v>
      </c>
      <c r="B85">
        <v>1</v>
      </c>
      <c r="C85">
        <v>0</v>
      </c>
    </row>
    <row r="86" spans="1:3" x14ac:dyDescent="0.2">
      <c r="A86" t="s">
        <v>86</v>
      </c>
      <c r="B86">
        <v>1.0034190365356099</v>
      </c>
      <c r="C86">
        <v>3.4190365356101E-3</v>
      </c>
    </row>
    <row r="87" spans="1:3" x14ac:dyDescent="0.2">
      <c r="A87" t="s">
        <v>1339</v>
      </c>
      <c r="B87">
        <v>1</v>
      </c>
      <c r="C87">
        <v>0</v>
      </c>
    </row>
    <row r="88" spans="1:3" x14ac:dyDescent="0.2">
      <c r="A88" t="s">
        <v>88</v>
      </c>
      <c r="B88">
        <v>1.118097771657615</v>
      </c>
      <c r="C88">
        <v>0.1180977716576152</v>
      </c>
    </row>
    <row r="89" spans="1:3" x14ac:dyDescent="0.2">
      <c r="A89" t="s">
        <v>1340</v>
      </c>
      <c r="B89">
        <v>1</v>
      </c>
      <c r="C89">
        <v>0</v>
      </c>
    </row>
    <row r="90" spans="1:3" x14ac:dyDescent="0.2">
      <c r="A90" t="s">
        <v>1341</v>
      </c>
      <c r="B90">
        <v>1</v>
      </c>
      <c r="C90">
        <v>0</v>
      </c>
    </row>
    <row r="91" spans="1:3" x14ac:dyDescent="0.2">
      <c r="A91" t="s">
        <v>1342</v>
      </c>
      <c r="B91">
        <v>1</v>
      </c>
      <c r="C91">
        <v>0</v>
      </c>
    </row>
    <row r="92" spans="1:3" x14ac:dyDescent="0.2">
      <c r="A92" t="s">
        <v>1343</v>
      </c>
      <c r="B92">
        <v>1</v>
      </c>
      <c r="C92">
        <v>-1.110223024625156E-16</v>
      </c>
    </row>
    <row r="93" spans="1:3" x14ac:dyDescent="0.2">
      <c r="A93" t="s">
        <v>1344</v>
      </c>
      <c r="B93">
        <v>1</v>
      </c>
      <c r="C93">
        <v>-1.110223024625156E-16</v>
      </c>
    </row>
    <row r="94" spans="1:3" x14ac:dyDescent="0.2">
      <c r="A94" t="s">
        <v>90</v>
      </c>
      <c r="B94">
        <v>1.0467450964075571</v>
      </c>
      <c r="C94">
        <v>4.67450964075573E-2</v>
      </c>
    </row>
    <row r="95" spans="1:3" x14ac:dyDescent="0.2">
      <c r="A95" t="s">
        <v>92</v>
      </c>
      <c r="B95">
        <v>1.031999641753349</v>
      </c>
      <c r="C95">
        <v>3.1999641753349198E-2</v>
      </c>
    </row>
    <row r="96" spans="1:3" x14ac:dyDescent="0.2">
      <c r="A96" t="s">
        <v>94</v>
      </c>
      <c r="B96">
        <v>1.0880402158310121</v>
      </c>
      <c r="C96">
        <v>8.8040215831012E-2</v>
      </c>
    </row>
    <row r="97" spans="1:3" x14ac:dyDescent="0.2">
      <c r="A97" t="s">
        <v>1345</v>
      </c>
      <c r="B97">
        <v>1</v>
      </c>
      <c r="C97">
        <v>0</v>
      </c>
    </row>
    <row r="98" spans="1:3" x14ac:dyDescent="0.2">
      <c r="A98" t="s">
        <v>1346</v>
      </c>
      <c r="B98">
        <v>1</v>
      </c>
      <c r="C98">
        <v>0</v>
      </c>
    </row>
    <row r="99" spans="1:3" x14ac:dyDescent="0.2">
      <c r="A99" t="s">
        <v>1347</v>
      </c>
      <c r="B99">
        <v>1</v>
      </c>
      <c r="C99">
        <v>0</v>
      </c>
    </row>
    <row r="100" spans="1:3" x14ac:dyDescent="0.2">
      <c r="A100" t="s">
        <v>1348</v>
      </c>
      <c r="B100">
        <v>1.0001998800719569</v>
      </c>
      <c r="C100">
        <v>1.998800719567E-4</v>
      </c>
    </row>
    <row r="101" spans="1:3" x14ac:dyDescent="0.2">
      <c r="A101" t="s">
        <v>96</v>
      </c>
      <c r="B101">
        <v>0.99029730971967156</v>
      </c>
      <c r="C101">
        <v>-9.7026902803283993E-3</v>
      </c>
    </row>
    <row r="102" spans="1:3" x14ac:dyDescent="0.2">
      <c r="A102" t="s">
        <v>98</v>
      </c>
      <c r="B102">
        <v>1.0804547299283009</v>
      </c>
      <c r="C102">
        <v>8.0454729928300897E-2</v>
      </c>
    </row>
    <row r="103" spans="1:3" x14ac:dyDescent="0.2">
      <c r="A103" t="s">
        <v>100</v>
      </c>
      <c r="B103">
        <v>1.106006222454917</v>
      </c>
      <c r="C103">
        <v>0.10600622245491741</v>
      </c>
    </row>
    <row r="104" spans="1:3" x14ac:dyDescent="0.2">
      <c r="A104" t="s">
        <v>102</v>
      </c>
      <c r="B104">
        <v>1.1574543234531489</v>
      </c>
      <c r="C104">
        <v>0.1574543234531493</v>
      </c>
    </row>
    <row r="105" spans="1:3" x14ac:dyDescent="0.2">
      <c r="A105" t="s">
        <v>1349</v>
      </c>
      <c r="B105">
        <v>1</v>
      </c>
      <c r="C105">
        <v>-1.110223024625156E-16</v>
      </c>
    </row>
    <row r="106" spans="1:3" x14ac:dyDescent="0.2">
      <c r="A106" t="s">
        <v>1350</v>
      </c>
      <c r="B106">
        <v>0.999721909134766</v>
      </c>
      <c r="C106">
        <v>-2.78090865234E-4</v>
      </c>
    </row>
    <row r="107" spans="1:3" x14ac:dyDescent="0.2">
      <c r="A107" t="s">
        <v>1351</v>
      </c>
      <c r="B107">
        <v>1</v>
      </c>
      <c r="C107">
        <v>0</v>
      </c>
    </row>
    <row r="108" spans="1:3" x14ac:dyDescent="0.2">
      <c r="A108" t="s">
        <v>1352</v>
      </c>
      <c r="B108">
        <v>1</v>
      </c>
      <c r="C108">
        <v>0</v>
      </c>
    </row>
    <row r="109" spans="1:3" x14ac:dyDescent="0.2">
      <c r="A109" t="s">
        <v>106</v>
      </c>
      <c r="B109">
        <v>0.96226335130613483</v>
      </c>
      <c r="C109">
        <v>-3.7736648693865102E-2</v>
      </c>
    </row>
    <row r="110" spans="1:3" x14ac:dyDescent="0.2">
      <c r="A110" t="s">
        <v>1353</v>
      </c>
      <c r="B110">
        <v>1</v>
      </c>
      <c r="C110">
        <v>0</v>
      </c>
    </row>
    <row r="111" spans="1:3" x14ac:dyDescent="0.2">
      <c r="A111" t="s">
        <v>1354</v>
      </c>
      <c r="B111">
        <v>1</v>
      </c>
      <c r="C111">
        <v>0</v>
      </c>
    </row>
    <row r="112" spans="1:3" x14ac:dyDescent="0.2">
      <c r="A112" t="s">
        <v>1355</v>
      </c>
      <c r="B112">
        <v>1</v>
      </c>
      <c r="C112">
        <v>0</v>
      </c>
    </row>
    <row r="113" spans="1:3" x14ac:dyDescent="0.2">
      <c r="A113" t="s">
        <v>108</v>
      </c>
      <c r="B113">
        <v>1.0306478071125691</v>
      </c>
      <c r="C113">
        <v>3.06478071125693E-2</v>
      </c>
    </row>
    <row r="114" spans="1:3" x14ac:dyDescent="0.2">
      <c r="A114" t="s">
        <v>1356</v>
      </c>
      <c r="B114">
        <v>1.0723671658373379</v>
      </c>
      <c r="C114">
        <v>7.2367165837338099E-2</v>
      </c>
    </row>
    <row r="115" spans="1:3" x14ac:dyDescent="0.2">
      <c r="A115" t="s">
        <v>1357</v>
      </c>
      <c r="B115">
        <v>1</v>
      </c>
      <c r="C115">
        <v>0</v>
      </c>
    </row>
    <row r="116" spans="1:3" x14ac:dyDescent="0.2">
      <c r="A116" t="s">
        <v>112</v>
      </c>
      <c r="B116">
        <v>1.0236061765152189</v>
      </c>
      <c r="C116">
        <v>2.3606176515218898E-2</v>
      </c>
    </row>
    <row r="117" spans="1:3" x14ac:dyDescent="0.2">
      <c r="A117" t="s">
        <v>1358</v>
      </c>
      <c r="B117">
        <v>1</v>
      </c>
      <c r="C117">
        <v>0</v>
      </c>
    </row>
    <row r="118" spans="1:3" x14ac:dyDescent="0.2">
      <c r="A118" t="s">
        <v>1359</v>
      </c>
      <c r="B118">
        <v>1</v>
      </c>
      <c r="C118">
        <v>0</v>
      </c>
    </row>
    <row r="119" spans="1:3" x14ac:dyDescent="0.2">
      <c r="A119" t="s">
        <v>114</v>
      </c>
      <c r="B119">
        <v>1.0502179592528891</v>
      </c>
      <c r="C119">
        <v>5.02179592528888E-2</v>
      </c>
    </row>
    <row r="120" spans="1:3" x14ac:dyDescent="0.2">
      <c r="A120" t="s">
        <v>1360</v>
      </c>
      <c r="B120">
        <v>0.99804486758421362</v>
      </c>
      <c r="C120">
        <v>-1.9551324157863E-3</v>
      </c>
    </row>
    <row r="121" spans="1:3" x14ac:dyDescent="0.2">
      <c r="A121" t="s">
        <v>116</v>
      </c>
      <c r="B121">
        <v>0.995314176312596</v>
      </c>
      <c r="C121">
        <v>-4.6858236874039996E-3</v>
      </c>
    </row>
    <row r="122" spans="1:3" x14ac:dyDescent="0.2">
      <c r="A122" t="s">
        <v>1361</v>
      </c>
      <c r="B122">
        <v>1</v>
      </c>
      <c r="C122">
        <v>0</v>
      </c>
    </row>
    <row r="123" spans="1:3" x14ac:dyDescent="0.2">
      <c r="A123" t="s">
        <v>1362</v>
      </c>
      <c r="B123">
        <v>1</v>
      </c>
      <c r="C123">
        <v>0</v>
      </c>
    </row>
    <row r="124" spans="1:3" x14ac:dyDescent="0.2">
      <c r="A124" t="s">
        <v>1363</v>
      </c>
      <c r="B124">
        <v>1.0179628152935749</v>
      </c>
      <c r="C124">
        <v>1.7962815293574599E-2</v>
      </c>
    </row>
    <row r="125" spans="1:3" x14ac:dyDescent="0.2">
      <c r="A125" t="s">
        <v>1364</v>
      </c>
      <c r="B125">
        <v>1</v>
      </c>
      <c r="C125">
        <v>0</v>
      </c>
    </row>
    <row r="126" spans="1:3" x14ac:dyDescent="0.2">
      <c r="A126" t="s">
        <v>1365</v>
      </c>
      <c r="B126">
        <v>1</v>
      </c>
      <c r="C126">
        <v>0</v>
      </c>
    </row>
    <row r="127" spans="1:3" x14ac:dyDescent="0.2">
      <c r="A127" t="s">
        <v>1366</v>
      </c>
      <c r="B127">
        <v>1</v>
      </c>
      <c r="C127">
        <v>0</v>
      </c>
    </row>
    <row r="128" spans="1:3" x14ac:dyDescent="0.2">
      <c r="A128" t="s">
        <v>120</v>
      </c>
      <c r="B128">
        <v>1.0683782050116259</v>
      </c>
      <c r="C128">
        <v>6.8378205011625504E-2</v>
      </c>
    </row>
    <row r="129" spans="1:3" x14ac:dyDescent="0.2">
      <c r="A129" t="s">
        <v>1367</v>
      </c>
      <c r="B129">
        <v>1</v>
      </c>
      <c r="C129">
        <v>-1.110223024625156E-16</v>
      </c>
    </row>
    <row r="130" spans="1:3" x14ac:dyDescent="0.2">
      <c r="A130" t="s">
        <v>1368</v>
      </c>
      <c r="B130">
        <v>1</v>
      </c>
      <c r="C130">
        <v>0</v>
      </c>
    </row>
    <row r="131" spans="1:3" x14ac:dyDescent="0.2">
      <c r="A131" t="s">
        <v>1369</v>
      </c>
      <c r="B131">
        <v>1</v>
      </c>
      <c r="C131">
        <v>0</v>
      </c>
    </row>
    <row r="132" spans="1:3" x14ac:dyDescent="0.2">
      <c r="A132" t="s">
        <v>1370</v>
      </c>
      <c r="B132">
        <v>1.1237578663333481</v>
      </c>
      <c r="C132">
        <v>0.12375786633334759</v>
      </c>
    </row>
    <row r="133" spans="1:3" x14ac:dyDescent="0.2">
      <c r="A133" t="s">
        <v>126</v>
      </c>
      <c r="B133">
        <v>1.0277770740100289</v>
      </c>
      <c r="C133">
        <v>2.7777074010029101E-2</v>
      </c>
    </row>
    <row r="134" spans="1:3" x14ac:dyDescent="0.2">
      <c r="A134" t="s">
        <v>128</v>
      </c>
      <c r="B134">
        <v>1.008299099196031</v>
      </c>
      <c r="C134">
        <v>8.2990991960304999E-3</v>
      </c>
    </row>
    <row r="135" spans="1:3" x14ac:dyDescent="0.2">
      <c r="A135" t="s">
        <v>1371</v>
      </c>
      <c r="B135">
        <v>1</v>
      </c>
      <c r="C135">
        <v>0</v>
      </c>
    </row>
    <row r="136" spans="1:3" x14ac:dyDescent="0.2">
      <c r="A136" t="s">
        <v>1372</v>
      </c>
      <c r="B136">
        <v>1</v>
      </c>
      <c r="C136">
        <v>0</v>
      </c>
    </row>
    <row r="137" spans="1:3" x14ac:dyDescent="0.2">
      <c r="A137" t="s">
        <v>1373</v>
      </c>
      <c r="B137">
        <v>1</v>
      </c>
      <c r="C137">
        <v>-1.110223024625156E-16</v>
      </c>
    </row>
    <row r="138" spans="1:3" x14ac:dyDescent="0.2">
      <c r="A138" t="s">
        <v>1374</v>
      </c>
      <c r="B138">
        <v>1</v>
      </c>
      <c r="C138">
        <v>0</v>
      </c>
    </row>
    <row r="139" spans="1:3" x14ac:dyDescent="0.2">
      <c r="A139" t="s">
        <v>1375</v>
      </c>
      <c r="B139">
        <v>1</v>
      </c>
      <c r="C139">
        <v>0</v>
      </c>
    </row>
    <row r="140" spans="1:3" x14ac:dyDescent="0.2">
      <c r="A140" t="s">
        <v>1376</v>
      </c>
      <c r="B140">
        <v>1</v>
      </c>
      <c r="C140">
        <v>0</v>
      </c>
    </row>
    <row r="141" spans="1:3" x14ac:dyDescent="0.2">
      <c r="A141" t="s">
        <v>1377</v>
      </c>
      <c r="B141">
        <v>1</v>
      </c>
      <c r="C141">
        <v>0</v>
      </c>
    </row>
    <row r="142" spans="1:3" x14ac:dyDescent="0.2">
      <c r="A142" t="s">
        <v>1378</v>
      </c>
      <c r="B142">
        <v>1</v>
      </c>
      <c r="C142">
        <v>0</v>
      </c>
    </row>
    <row r="143" spans="1:3" x14ac:dyDescent="0.2">
      <c r="A143" t="s">
        <v>1379</v>
      </c>
      <c r="B143">
        <v>1</v>
      </c>
      <c r="C143">
        <v>0</v>
      </c>
    </row>
    <row r="144" spans="1:3" x14ac:dyDescent="0.2">
      <c r="A144" t="s">
        <v>130</v>
      </c>
      <c r="B144">
        <v>0.9847660203253128</v>
      </c>
      <c r="C144">
        <v>-1.5233979674687301E-2</v>
      </c>
    </row>
    <row r="145" spans="1:3" x14ac:dyDescent="0.2">
      <c r="A145" t="s">
        <v>132</v>
      </c>
      <c r="B145">
        <v>1.1314820142975031</v>
      </c>
      <c r="C145">
        <v>0.1314820142975032</v>
      </c>
    </row>
    <row r="146" spans="1:3" x14ac:dyDescent="0.2">
      <c r="A146" t="s">
        <v>134</v>
      </c>
      <c r="B146">
        <v>0.99632592796071839</v>
      </c>
      <c r="C146">
        <v>-3.6740720392816999E-3</v>
      </c>
    </row>
    <row r="147" spans="1:3" x14ac:dyDescent="0.2">
      <c r="A147" t="s">
        <v>136</v>
      </c>
      <c r="B147">
        <v>1.016976105560478</v>
      </c>
      <c r="C147">
        <v>1.6976105560477701E-2</v>
      </c>
    </row>
    <row r="148" spans="1:3" x14ac:dyDescent="0.2">
      <c r="A148" t="s">
        <v>1380</v>
      </c>
      <c r="B148">
        <v>1</v>
      </c>
      <c r="C148">
        <v>0</v>
      </c>
    </row>
    <row r="149" spans="1:3" x14ac:dyDescent="0.2">
      <c r="A149" t="s">
        <v>1381</v>
      </c>
      <c r="B149">
        <v>1</v>
      </c>
      <c r="C149">
        <v>0</v>
      </c>
    </row>
    <row r="150" spans="1:3" x14ac:dyDescent="0.2">
      <c r="A150" t="s">
        <v>138</v>
      </c>
      <c r="B150">
        <v>1.052568369424004</v>
      </c>
      <c r="C150">
        <v>5.2568369424004002E-2</v>
      </c>
    </row>
    <row r="151" spans="1:3" x14ac:dyDescent="0.2">
      <c r="A151" t="s">
        <v>1382</v>
      </c>
      <c r="B151">
        <v>0.95574312875965961</v>
      </c>
      <c r="C151">
        <v>-4.4256871240340299E-2</v>
      </c>
    </row>
    <row r="152" spans="1:3" x14ac:dyDescent="0.2">
      <c r="A152" t="s">
        <v>142</v>
      </c>
      <c r="B152">
        <v>0.96963856960316019</v>
      </c>
      <c r="C152">
        <v>-3.0361430396839799E-2</v>
      </c>
    </row>
    <row r="153" spans="1:3" x14ac:dyDescent="0.2">
      <c r="A153" t="s">
        <v>144</v>
      </c>
      <c r="B153">
        <v>1.147518407960366</v>
      </c>
      <c r="C153">
        <v>0.14751840796036589</v>
      </c>
    </row>
    <row r="154" spans="1:3" x14ac:dyDescent="0.2">
      <c r="A154" t="s">
        <v>1383</v>
      </c>
      <c r="B154">
        <v>1</v>
      </c>
      <c r="C154">
        <v>0</v>
      </c>
    </row>
    <row r="155" spans="1:3" x14ac:dyDescent="0.2">
      <c r="A155" t="s">
        <v>1384</v>
      </c>
      <c r="B155">
        <v>1</v>
      </c>
      <c r="C155">
        <v>0</v>
      </c>
    </row>
    <row r="156" spans="1:3" x14ac:dyDescent="0.2">
      <c r="A156" t="s">
        <v>1385</v>
      </c>
      <c r="B156">
        <v>1</v>
      </c>
      <c r="C156">
        <v>0</v>
      </c>
    </row>
    <row r="157" spans="1:3" x14ac:dyDescent="0.2">
      <c r="A157" t="s">
        <v>1386</v>
      </c>
      <c r="B157">
        <v>1</v>
      </c>
      <c r="C157">
        <v>0</v>
      </c>
    </row>
    <row r="158" spans="1:3" x14ac:dyDescent="0.2">
      <c r="A158" t="s">
        <v>1387</v>
      </c>
      <c r="B158">
        <v>1</v>
      </c>
      <c r="C158">
        <v>-1.110223024625156E-16</v>
      </c>
    </row>
    <row r="159" spans="1:3" x14ac:dyDescent="0.2">
      <c r="A159" t="s">
        <v>146</v>
      </c>
      <c r="B159">
        <v>0.96550219715579122</v>
      </c>
      <c r="C159">
        <v>-3.44978028442086E-2</v>
      </c>
    </row>
    <row r="160" spans="1:3" x14ac:dyDescent="0.2">
      <c r="A160" t="s">
        <v>148</v>
      </c>
      <c r="B160">
        <v>1.0056631847931849</v>
      </c>
      <c r="C160">
        <v>5.6631847931848996E-3</v>
      </c>
    </row>
    <row r="161" spans="1:3" x14ac:dyDescent="0.2">
      <c r="A161" t="s">
        <v>150</v>
      </c>
      <c r="B161">
        <v>1.0490320086610421</v>
      </c>
      <c r="C161">
        <v>4.90320086610425E-2</v>
      </c>
    </row>
    <row r="162" spans="1:3" x14ac:dyDescent="0.2">
      <c r="A162" t="s">
        <v>152</v>
      </c>
      <c r="B162">
        <v>1.045764709544678</v>
      </c>
      <c r="C162">
        <v>4.5764709544678199E-2</v>
      </c>
    </row>
    <row r="163" spans="1:3" x14ac:dyDescent="0.2">
      <c r="A163" t="s">
        <v>1388</v>
      </c>
      <c r="B163">
        <v>1</v>
      </c>
      <c r="C163">
        <v>0</v>
      </c>
    </row>
    <row r="164" spans="1:3" x14ac:dyDescent="0.2">
      <c r="A164" t="s">
        <v>154</v>
      </c>
      <c r="B164">
        <v>0.99274123482241061</v>
      </c>
      <c r="C164">
        <v>-7.2587651775893004E-3</v>
      </c>
    </row>
    <row r="165" spans="1:3" x14ac:dyDescent="0.2">
      <c r="A165" t="s">
        <v>1389</v>
      </c>
      <c r="B165">
        <v>1.015565871364374</v>
      </c>
      <c r="C165">
        <v>1.5565871364374401E-2</v>
      </c>
    </row>
    <row r="166" spans="1:3" x14ac:dyDescent="0.2">
      <c r="A166" t="s">
        <v>158</v>
      </c>
      <c r="B166">
        <v>1.0741317052716011</v>
      </c>
      <c r="C166">
        <v>7.4131705271600998E-2</v>
      </c>
    </row>
    <row r="167" spans="1:3" x14ac:dyDescent="0.2">
      <c r="A167" t="s">
        <v>1390</v>
      </c>
      <c r="B167">
        <v>1</v>
      </c>
      <c r="C167">
        <v>0</v>
      </c>
    </row>
    <row r="168" spans="1:3" x14ac:dyDescent="0.2">
      <c r="A168" t="s">
        <v>160</v>
      </c>
      <c r="B168">
        <v>1.0716681272786051</v>
      </c>
      <c r="C168">
        <v>7.1668127278605206E-2</v>
      </c>
    </row>
    <row r="169" spans="1:3" x14ac:dyDescent="0.2">
      <c r="A169" t="s">
        <v>162</v>
      </c>
      <c r="B169">
        <v>0.94723682357573336</v>
      </c>
      <c r="C169">
        <v>-5.2763176424266603E-2</v>
      </c>
    </row>
    <row r="170" spans="1:3" x14ac:dyDescent="0.2">
      <c r="A170" t="s">
        <v>164</v>
      </c>
      <c r="B170">
        <v>1.12491816322751</v>
      </c>
      <c r="C170">
        <v>0.12491816322750959</v>
      </c>
    </row>
    <row r="171" spans="1:3" x14ac:dyDescent="0.2">
      <c r="A171" t="s">
        <v>1391</v>
      </c>
      <c r="B171">
        <v>1</v>
      </c>
      <c r="C171">
        <v>0</v>
      </c>
    </row>
    <row r="172" spans="1:3" x14ac:dyDescent="0.2">
      <c r="A172" t="s">
        <v>1392</v>
      </c>
      <c r="B172">
        <v>1</v>
      </c>
      <c r="C172">
        <v>0</v>
      </c>
    </row>
    <row r="173" spans="1:3" x14ac:dyDescent="0.2">
      <c r="A173" t="s">
        <v>166</v>
      </c>
      <c r="B173">
        <v>0.97986554790064562</v>
      </c>
      <c r="C173">
        <v>-2.0134452099354199E-2</v>
      </c>
    </row>
    <row r="174" spans="1:3" x14ac:dyDescent="0.2">
      <c r="A174" t="s">
        <v>1393</v>
      </c>
      <c r="B174">
        <v>1</v>
      </c>
      <c r="C174">
        <v>0</v>
      </c>
    </row>
    <row r="175" spans="1:3" x14ac:dyDescent="0.2">
      <c r="A175" t="s">
        <v>1394</v>
      </c>
      <c r="B175">
        <v>1</v>
      </c>
      <c r="C175">
        <v>0</v>
      </c>
    </row>
    <row r="176" spans="1:3" x14ac:dyDescent="0.2">
      <c r="A176" t="s">
        <v>1395</v>
      </c>
      <c r="B176">
        <v>1</v>
      </c>
      <c r="C176">
        <v>0</v>
      </c>
    </row>
    <row r="177" spans="1:3" x14ac:dyDescent="0.2">
      <c r="A177" t="s">
        <v>1396</v>
      </c>
      <c r="B177">
        <v>1</v>
      </c>
      <c r="C177">
        <v>-1.110223024625156E-16</v>
      </c>
    </row>
    <row r="178" spans="1:3" x14ac:dyDescent="0.2">
      <c r="A178" t="s">
        <v>168</v>
      </c>
      <c r="B178">
        <v>0.98413548573693399</v>
      </c>
      <c r="C178">
        <v>-1.5864514263065899E-2</v>
      </c>
    </row>
    <row r="179" spans="1:3" x14ac:dyDescent="0.2">
      <c r="A179" t="s">
        <v>1397</v>
      </c>
      <c r="B179">
        <v>1</v>
      </c>
      <c r="C179">
        <v>0</v>
      </c>
    </row>
    <row r="180" spans="1:3" x14ac:dyDescent="0.2">
      <c r="A180" t="s">
        <v>1398</v>
      </c>
      <c r="B180">
        <v>1</v>
      </c>
      <c r="C180">
        <v>0</v>
      </c>
    </row>
    <row r="181" spans="1:3" x14ac:dyDescent="0.2">
      <c r="A181" t="s">
        <v>1399</v>
      </c>
      <c r="B181">
        <v>1</v>
      </c>
      <c r="C181">
        <v>0</v>
      </c>
    </row>
    <row r="182" spans="1:3" x14ac:dyDescent="0.2">
      <c r="A182" t="s">
        <v>1400</v>
      </c>
      <c r="B182">
        <v>1</v>
      </c>
      <c r="C182">
        <v>0</v>
      </c>
    </row>
    <row r="183" spans="1:3" x14ac:dyDescent="0.2">
      <c r="A183" t="s">
        <v>1401</v>
      </c>
      <c r="B183">
        <v>1</v>
      </c>
      <c r="C183">
        <v>0</v>
      </c>
    </row>
    <row r="184" spans="1:3" x14ac:dyDescent="0.2">
      <c r="A184" t="s">
        <v>1402</v>
      </c>
      <c r="B184">
        <v>1</v>
      </c>
      <c r="C184">
        <v>0</v>
      </c>
    </row>
    <row r="185" spans="1:3" x14ac:dyDescent="0.2">
      <c r="A185" t="s">
        <v>170</v>
      </c>
      <c r="B185">
        <v>1.0856171790514439</v>
      </c>
      <c r="C185">
        <v>8.5617179051444295E-2</v>
      </c>
    </row>
    <row r="186" spans="1:3" x14ac:dyDescent="0.2">
      <c r="A186" t="s">
        <v>1403</v>
      </c>
      <c r="B186">
        <v>1</v>
      </c>
      <c r="C186">
        <v>0</v>
      </c>
    </row>
    <row r="187" spans="1:3" x14ac:dyDescent="0.2">
      <c r="A187" t="s">
        <v>174</v>
      </c>
      <c r="B187">
        <v>1.0036161959250509</v>
      </c>
      <c r="C187">
        <v>3.6161959250509E-3</v>
      </c>
    </row>
    <row r="188" spans="1:3" x14ac:dyDescent="0.2">
      <c r="A188" t="s">
        <v>176</v>
      </c>
      <c r="B188">
        <v>0.97033071841838137</v>
      </c>
      <c r="C188">
        <v>-2.9669281581618599E-2</v>
      </c>
    </row>
    <row r="189" spans="1:3" x14ac:dyDescent="0.2">
      <c r="A189" t="s">
        <v>1404</v>
      </c>
      <c r="B189">
        <v>1</v>
      </c>
      <c r="C189">
        <v>0</v>
      </c>
    </row>
    <row r="190" spans="1:3" x14ac:dyDescent="0.2">
      <c r="A190" t="s">
        <v>1405</v>
      </c>
      <c r="B190">
        <v>1</v>
      </c>
      <c r="C190">
        <v>0</v>
      </c>
    </row>
    <row r="191" spans="1:3" x14ac:dyDescent="0.2">
      <c r="A191" t="s">
        <v>1406</v>
      </c>
      <c r="B191">
        <v>1</v>
      </c>
      <c r="C191">
        <v>0</v>
      </c>
    </row>
    <row r="192" spans="1:3" x14ac:dyDescent="0.2">
      <c r="A192" t="s">
        <v>178</v>
      </c>
      <c r="B192">
        <v>1.0066018699498731</v>
      </c>
      <c r="C192">
        <v>6.6018699498732996E-3</v>
      </c>
    </row>
    <row r="193" spans="1:3" x14ac:dyDescent="0.2">
      <c r="A193" t="s">
        <v>180</v>
      </c>
      <c r="B193">
        <v>1.1403343313972929</v>
      </c>
      <c r="C193">
        <v>0.1403343313972929</v>
      </c>
    </row>
    <row r="194" spans="1:3" x14ac:dyDescent="0.2">
      <c r="A194" t="s">
        <v>182</v>
      </c>
      <c r="B194">
        <v>1.016329800850919</v>
      </c>
      <c r="C194">
        <v>1.63298008509189E-2</v>
      </c>
    </row>
    <row r="195" spans="1:3" x14ac:dyDescent="0.2">
      <c r="A195" t="s">
        <v>184</v>
      </c>
      <c r="B195">
        <v>1.04803901908083</v>
      </c>
      <c r="C195">
        <v>4.8039019080829498E-2</v>
      </c>
    </row>
    <row r="196" spans="1:3" x14ac:dyDescent="0.2">
      <c r="A196" t="s">
        <v>1407</v>
      </c>
      <c r="B196">
        <v>1.06395590981967</v>
      </c>
      <c r="C196">
        <v>6.3955909819670198E-2</v>
      </c>
    </row>
    <row r="197" spans="1:3" x14ac:dyDescent="0.2">
      <c r="A197" t="s">
        <v>1408</v>
      </c>
      <c r="B197">
        <v>1</v>
      </c>
      <c r="C197">
        <v>0</v>
      </c>
    </row>
    <row r="198" spans="1:3" x14ac:dyDescent="0.2">
      <c r="A198" t="s">
        <v>1409</v>
      </c>
      <c r="B198">
        <v>1</v>
      </c>
      <c r="C198">
        <v>0</v>
      </c>
    </row>
    <row r="199" spans="1:3" x14ac:dyDescent="0.2">
      <c r="A199" t="s">
        <v>1410</v>
      </c>
      <c r="B199">
        <v>1.0805460056648619</v>
      </c>
      <c r="C199">
        <v>8.0546005664861406E-2</v>
      </c>
    </row>
    <row r="200" spans="1:3" x14ac:dyDescent="0.2">
      <c r="A200" t="s">
        <v>188</v>
      </c>
      <c r="B200">
        <v>1.016939835965692</v>
      </c>
      <c r="C200">
        <v>1.6939835965691801E-2</v>
      </c>
    </row>
    <row r="201" spans="1:3" x14ac:dyDescent="0.2">
      <c r="A201" t="s">
        <v>1411</v>
      </c>
      <c r="B201">
        <v>1</v>
      </c>
      <c r="C201">
        <v>0</v>
      </c>
    </row>
    <row r="202" spans="1:3" x14ac:dyDescent="0.2">
      <c r="A202" t="s">
        <v>1412</v>
      </c>
      <c r="B202">
        <v>1</v>
      </c>
      <c r="C202">
        <v>0</v>
      </c>
    </row>
    <row r="203" spans="1:3" x14ac:dyDescent="0.2">
      <c r="A203" t="s">
        <v>1413</v>
      </c>
      <c r="B203">
        <v>1</v>
      </c>
      <c r="C203">
        <v>0</v>
      </c>
    </row>
    <row r="204" spans="1:3" x14ac:dyDescent="0.2">
      <c r="A204" t="s">
        <v>1414</v>
      </c>
      <c r="B204">
        <v>1</v>
      </c>
      <c r="C204">
        <v>0</v>
      </c>
    </row>
    <row r="205" spans="1:3" x14ac:dyDescent="0.2">
      <c r="A205" t="s">
        <v>1415</v>
      </c>
      <c r="B205">
        <v>1</v>
      </c>
      <c r="C205">
        <v>0</v>
      </c>
    </row>
    <row r="206" spans="1:3" x14ac:dyDescent="0.2">
      <c r="A206" t="s">
        <v>1416</v>
      </c>
      <c r="B206">
        <v>1</v>
      </c>
      <c r="C206">
        <v>0</v>
      </c>
    </row>
    <row r="207" spans="1:3" x14ac:dyDescent="0.2">
      <c r="A207" t="s">
        <v>1417</v>
      </c>
      <c r="B207">
        <v>1.179294462245529</v>
      </c>
      <c r="C207">
        <v>0.1792944622455292</v>
      </c>
    </row>
    <row r="208" spans="1:3" x14ac:dyDescent="0.2">
      <c r="A208" t="s">
        <v>192</v>
      </c>
      <c r="B208">
        <v>0.90918014928664603</v>
      </c>
      <c r="C208">
        <v>-9.08198507133538E-2</v>
      </c>
    </row>
    <row r="209" spans="1:3" x14ac:dyDescent="0.2">
      <c r="A209" t="s">
        <v>1418</v>
      </c>
      <c r="B209">
        <v>1</v>
      </c>
      <c r="C209">
        <v>-1.110223024625156E-16</v>
      </c>
    </row>
    <row r="210" spans="1:3" x14ac:dyDescent="0.2">
      <c r="A210" t="s">
        <v>1419</v>
      </c>
      <c r="B210">
        <v>1.0250587577676411</v>
      </c>
      <c r="C210">
        <v>2.5058757767641101E-2</v>
      </c>
    </row>
    <row r="211" spans="1:3" x14ac:dyDescent="0.2">
      <c r="A211" t="s">
        <v>1420</v>
      </c>
      <c r="B211">
        <v>1</v>
      </c>
      <c r="C211">
        <v>0</v>
      </c>
    </row>
    <row r="212" spans="1:3" x14ac:dyDescent="0.2">
      <c r="A212" t="s">
        <v>1421</v>
      </c>
      <c r="B212">
        <v>1</v>
      </c>
      <c r="C212">
        <v>0</v>
      </c>
    </row>
    <row r="213" spans="1:3" x14ac:dyDescent="0.2">
      <c r="A213" t="s">
        <v>196</v>
      </c>
      <c r="B213">
        <v>1.0377302752951201</v>
      </c>
      <c r="C213">
        <v>3.7730275295119999E-2</v>
      </c>
    </row>
    <row r="214" spans="1:3" x14ac:dyDescent="0.2">
      <c r="A214" t="s">
        <v>198</v>
      </c>
      <c r="B214">
        <v>0.97353572507399677</v>
      </c>
      <c r="C214">
        <v>-2.64642749260031E-2</v>
      </c>
    </row>
    <row r="215" spans="1:3" x14ac:dyDescent="0.2">
      <c r="A215" t="s">
        <v>200</v>
      </c>
      <c r="B215">
        <v>1.0427643319193081</v>
      </c>
      <c r="C215">
        <v>4.2764331919307598E-2</v>
      </c>
    </row>
    <row r="216" spans="1:3" x14ac:dyDescent="0.2">
      <c r="A216" t="s">
        <v>202</v>
      </c>
      <c r="B216">
        <v>0.99018196729913721</v>
      </c>
      <c r="C216">
        <v>-9.8180327008627003E-3</v>
      </c>
    </row>
    <row r="217" spans="1:3" x14ac:dyDescent="0.2">
      <c r="A217" t="s">
        <v>1422</v>
      </c>
      <c r="B217">
        <v>1</v>
      </c>
      <c r="C217">
        <v>0</v>
      </c>
    </row>
    <row r="218" spans="1:3" x14ac:dyDescent="0.2">
      <c r="A218" t="s">
        <v>204</v>
      </c>
      <c r="B218">
        <v>0.998232795700706</v>
      </c>
      <c r="C218">
        <v>-1.767204299294E-3</v>
      </c>
    </row>
    <row r="219" spans="1:3" x14ac:dyDescent="0.2">
      <c r="A219" t="s">
        <v>1423</v>
      </c>
      <c r="B219">
        <v>1.0312065326908431</v>
      </c>
      <c r="C219">
        <v>3.1206532690842601E-2</v>
      </c>
    </row>
    <row r="220" spans="1:3" x14ac:dyDescent="0.2">
      <c r="A220" t="s">
        <v>208</v>
      </c>
      <c r="B220">
        <v>0.95296628095638802</v>
      </c>
      <c r="C220">
        <v>-4.7033719043611998E-2</v>
      </c>
    </row>
    <row r="221" spans="1:3" x14ac:dyDescent="0.2">
      <c r="A221" t="s">
        <v>1424</v>
      </c>
      <c r="B221">
        <v>1</v>
      </c>
      <c r="C221">
        <v>0</v>
      </c>
    </row>
    <row r="222" spans="1:3" x14ac:dyDescent="0.2">
      <c r="A222" t="s">
        <v>210</v>
      </c>
      <c r="B222">
        <v>1.0858508804335001</v>
      </c>
      <c r="C222">
        <v>8.5850880433500504E-2</v>
      </c>
    </row>
    <row r="223" spans="1:3" x14ac:dyDescent="0.2">
      <c r="A223" t="s">
        <v>1425</v>
      </c>
      <c r="B223">
        <v>1.0178349366017421</v>
      </c>
      <c r="C223">
        <v>1.7834936601741999E-2</v>
      </c>
    </row>
    <row r="224" spans="1:3" x14ac:dyDescent="0.2">
      <c r="A224" t="s">
        <v>1426</v>
      </c>
      <c r="B224">
        <v>1.02611271753498</v>
      </c>
      <c r="C224">
        <v>2.61127175349802E-2</v>
      </c>
    </row>
    <row r="225" spans="1:3" x14ac:dyDescent="0.2">
      <c r="A225" t="s">
        <v>216</v>
      </c>
      <c r="B225">
        <v>1.057118260777689</v>
      </c>
      <c r="C225">
        <v>5.7118260777688702E-2</v>
      </c>
    </row>
    <row r="226" spans="1:3" x14ac:dyDescent="0.2">
      <c r="A226" t="s">
        <v>1427</v>
      </c>
      <c r="B226">
        <v>1</v>
      </c>
      <c r="C226">
        <v>0</v>
      </c>
    </row>
    <row r="227" spans="1:3" x14ac:dyDescent="0.2">
      <c r="A227" t="s">
        <v>1428</v>
      </c>
      <c r="B227">
        <v>1</v>
      </c>
      <c r="C227">
        <v>0</v>
      </c>
    </row>
    <row r="228" spans="1:3" x14ac:dyDescent="0.2">
      <c r="A228" t="s">
        <v>218</v>
      </c>
      <c r="B228">
        <v>1.0632944331282741</v>
      </c>
      <c r="C228">
        <v>6.3294433128274097E-2</v>
      </c>
    </row>
    <row r="229" spans="1:3" x14ac:dyDescent="0.2">
      <c r="A229" t="s">
        <v>1429</v>
      </c>
      <c r="B229">
        <v>1</v>
      </c>
      <c r="C229">
        <v>0</v>
      </c>
    </row>
    <row r="230" spans="1:3" x14ac:dyDescent="0.2">
      <c r="A230" t="s">
        <v>1430</v>
      </c>
      <c r="B230">
        <v>1</v>
      </c>
      <c r="C230">
        <v>0</v>
      </c>
    </row>
    <row r="231" spans="1:3" x14ac:dyDescent="0.2">
      <c r="A231" t="s">
        <v>1431</v>
      </c>
      <c r="B231">
        <v>1</v>
      </c>
      <c r="C231">
        <v>0</v>
      </c>
    </row>
    <row r="232" spans="1:3" x14ac:dyDescent="0.2">
      <c r="A232" t="s">
        <v>220</v>
      </c>
      <c r="B232">
        <v>1.1117262695781021</v>
      </c>
      <c r="C232">
        <v>0.11172626957810219</v>
      </c>
    </row>
    <row r="233" spans="1:3" x14ac:dyDescent="0.2">
      <c r="A233" t="s">
        <v>1432</v>
      </c>
      <c r="B233">
        <v>1</v>
      </c>
      <c r="C233">
        <v>0</v>
      </c>
    </row>
    <row r="234" spans="1:3" x14ac:dyDescent="0.2">
      <c r="A234" t="s">
        <v>1433</v>
      </c>
      <c r="B234">
        <v>1</v>
      </c>
      <c r="C234">
        <v>0</v>
      </c>
    </row>
    <row r="235" spans="1:3" x14ac:dyDescent="0.2">
      <c r="A235" t="s">
        <v>1434</v>
      </c>
      <c r="B235">
        <v>1</v>
      </c>
      <c r="C235">
        <v>-1.110223024625156E-16</v>
      </c>
    </row>
    <row r="236" spans="1:3" x14ac:dyDescent="0.2">
      <c r="A236" t="s">
        <v>1435</v>
      </c>
      <c r="B236">
        <v>1.1047349427139901</v>
      </c>
      <c r="C236">
        <v>0.1047349427139905</v>
      </c>
    </row>
    <row r="237" spans="1:3" x14ac:dyDescent="0.2">
      <c r="A237" t="s">
        <v>224</v>
      </c>
      <c r="B237">
        <v>1.001500818911564</v>
      </c>
      <c r="C237">
        <v>1.5008189115637001E-3</v>
      </c>
    </row>
    <row r="238" spans="1:3" x14ac:dyDescent="0.2">
      <c r="A238" t="s">
        <v>226</v>
      </c>
      <c r="B238">
        <v>0.98996377242581501</v>
      </c>
      <c r="C238">
        <v>-1.0036227574184899E-2</v>
      </c>
    </row>
    <row r="239" spans="1:3" x14ac:dyDescent="0.2">
      <c r="A239" t="s">
        <v>1436</v>
      </c>
      <c r="B239">
        <v>1</v>
      </c>
      <c r="C239">
        <v>0</v>
      </c>
    </row>
    <row r="240" spans="1:3" x14ac:dyDescent="0.2">
      <c r="A240" t="s">
        <v>228</v>
      </c>
      <c r="B240">
        <v>1.104083469762835</v>
      </c>
      <c r="C240">
        <v>0.1040834697628347</v>
      </c>
    </row>
    <row r="241" spans="1:3" x14ac:dyDescent="0.2">
      <c r="A241" t="s">
        <v>1437</v>
      </c>
      <c r="B241">
        <v>1</v>
      </c>
      <c r="C241">
        <v>0</v>
      </c>
    </row>
    <row r="242" spans="1:3" x14ac:dyDescent="0.2">
      <c r="A242" t="s">
        <v>1438</v>
      </c>
      <c r="B242">
        <v>1</v>
      </c>
      <c r="C242">
        <v>0</v>
      </c>
    </row>
    <row r="243" spans="1:3" x14ac:dyDescent="0.2">
      <c r="A243" t="s">
        <v>230</v>
      </c>
      <c r="B243">
        <v>1.0896725633286211</v>
      </c>
      <c r="C243">
        <v>8.9672563328621196E-2</v>
      </c>
    </row>
    <row r="244" spans="1:3" x14ac:dyDescent="0.2">
      <c r="A244" t="s">
        <v>232</v>
      </c>
      <c r="B244">
        <v>1.01463868644767</v>
      </c>
      <c r="C244">
        <v>1.4638686447669901E-2</v>
      </c>
    </row>
    <row r="245" spans="1:3" x14ac:dyDescent="0.2">
      <c r="A245" t="s">
        <v>234</v>
      </c>
      <c r="B245">
        <v>0.95747192748648402</v>
      </c>
      <c r="C245">
        <v>-4.2528072513515799E-2</v>
      </c>
    </row>
    <row r="246" spans="1:3" x14ac:dyDescent="0.2">
      <c r="A246" t="s">
        <v>1439</v>
      </c>
      <c r="B246">
        <v>1</v>
      </c>
      <c r="C246">
        <v>0</v>
      </c>
    </row>
    <row r="247" spans="1:3" x14ac:dyDescent="0.2">
      <c r="A247" t="s">
        <v>1440</v>
      </c>
      <c r="B247">
        <v>1</v>
      </c>
      <c r="C247">
        <v>0</v>
      </c>
    </row>
    <row r="248" spans="1:3" x14ac:dyDescent="0.2">
      <c r="A248" t="s">
        <v>1441</v>
      </c>
      <c r="B248">
        <v>1</v>
      </c>
      <c r="C248">
        <v>0</v>
      </c>
    </row>
    <row r="249" spans="1:3" x14ac:dyDescent="0.2">
      <c r="A249" t="s">
        <v>1442</v>
      </c>
      <c r="B249">
        <v>1</v>
      </c>
      <c r="C249">
        <v>0</v>
      </c>
    </row>
    <row r="250" spans="1:3" x14ac:dyDescent="0.2">
      <c r="A250" t="s">
        <v>1443</v>
      </c>
      <c r="B250">
        <v>1</v>
      </c>
      <c r="C250">
        <v>0</v>
      </c>
    </row>
    <row r="251" spans="1:3" x14ac:dyDescent="0.2">
      <c r="A251" t="s">
        <v>236</v>
      </c>
      <c r="B251">
        <v>1.069517018690022</v>
      </c>
      <c r="C251">
        <v>6.9517018690022206E-2</v>
      </c>
    </row>
    <row r="252" spans="1:3" x14ac:dyDescent="0.2">
      <c r="A252" t="s">
        <v>1444</v>
      </c>
      <c r="B252">
        <v>0.95692005358069621</v>
      </c>
      <c r="C252">
        <v>-4.3079946419303697E-2</v>
      </c>
    </row>
    <row r="253" spans="1:3" x14ac:dyDescent="0.2">
      <c r="A253" t="s">
        <v>240</v>
      </c>
      <c r="B253">
        <v>0.99384141782931035</v>
      </c>
      <c r="C253">
        <v>-6.1585821706895E-3</v>
      </c>
    </row>
    <row r="254" spans="1:3" x14ac:dyDescent="0.2">
      <c r="A254" t="s">
        <v>242</v>
      </c>
      <c r="B254">
        <v>0.97687497194835504</v>
      </c>
      <c r="C254">
        <v>-2.3125028051644899E-2</v>
      </c>
    </row>
    <row r="255" spans="1:3" x14ac:dyDescent="0.2">
      <c r="A255" t="s">
        <v>1445</v>
      </c>
      <c r="B255">
        <v>1.0022095611696249</v>
      </c>
      <c r="C255">
        <v>2.2095611696248E-3</v>
      </c>
    </row>
    <row r="256" spans="1:3" x14ac:dyDescent="0.2">
      <c r="A256" t="s">
        <v>1446</v>
      </c>
      <c r="B256">
        <v>1</v>
      </c>
      <c r="C256">
        <v>0</v>
      </c>
    </row>
    <row r="257" spans="1:3" x14ac:dyDescent="0.2">
      <c r="A257" t="s">
        <v>248</v>
      </c>
      <c r="B257">
        <v>1.1675892508176831</v>
      </c>
      <c r="C257">
        <v>0.16758925081768261</v>
      </c>
    </row>
    <row r="258" spans="1:3" x14ac:dyDescent="0.2">
      <c r="A258" t="s">
        <v>250</v>
      </c>
      <c r="B258">
        <v>0.95396217573711917</v>
      </c>
      <c r="C258">
        <v>-4.6037824262880701E-2</v>
      </c>
    </row>
    <row r="259" spans="1:3" x14ac:dyDescent="0.2">
      <c r="A259" t="s">
        <v>1447</v>
      </c>
      <c r="B259">
        <v>1.015331171082221</v>
      </c>
      <c r="C259">
        <v>1.5331171082220501E-2</v>
      </c>
    </row>
    <row r="260" spans="1:3" x14ac:dyDescent="0.2">
      <c r="A260" t="s">
        <v>1448</v>
      </c>
      <c r="B260">
        <v>1</v>
      </c>
      <c r="C260">
        <v>0</v>
      </c>
    </row>
    <row r="261" spans="1:3" x14ac:dyDescent="0.2">
      <c r="A261" t="s">
        <v>254</v>
      </c>
      <c r="B261">
        <v>1.128127356064442</v>
      </c>
      <c r="C261">
        <v>0.1281273560644422</v>
      </c>
    </row>
    <row r="262" spans="1:3" x14ac:dyDescent="0.2">
      <c r="A262" t="s">
        <v>256</v>
      </c>
      <c r="B262">
        <v>1.05633938614816</v>
      </c>
      <c r="C262">
        <v>5.6339386148160003E-2</v>
      </c>
    </row>
    <row r="263" spans="1:3" x14ac:dyDescent="0.2">
      <c r="A263" t="s">
        <v>1449</v>
      </c>
      <c r="B263">
        <v>1.01118898116265</v>
      </c>
      <c r="C263">
        <v>1.11889811626495E-2</v>
      </c>
    </row>
    <row r="264" spans="1:3" x14ac:dyDescent="0.2">
      <c r="A264" t="s">
        <v>1450</v>
      </c>
      <c r="B264">
        <v>1.0143205235075881</v>
      </c>
      <c r="C264">
        <v>1.43205235075876E-2</v>
      </c>
    </row>
    <row r="265" spans="1:3" x14ac:dyDescent="0.2">
      <c r="A265" t="s">
        <v>262</v>
      </c>
      <c r="B265">
        <v>1.0126094139253059</v>
      </c>
      <c r="C265">
        <v>1.26094139253063E-2</v>
      </c>
    </row>
    <row r="266" spans="1:3" x14ac:dyDescent="0.2">
      <c r="A266" t="s">
        <v>1451</v>
      </c>
      <c r="B266">
        <v>1.0991077121695381</v>
      </c>
      <c r="C266">
        <v>9.9107712169537995E-2</v>
      </c>
    </row>
    <row r="267" spans="1:3" x14ac:dyDescent="0.2">
      <c r="A267" t="s">
        <v>266</v>
      </c>
      <c r="B267">
        <v>1.0327719241753801</v>
      </c>
      <c r="C267">
        <v>3.2771924175379601E-2</v>
      </c>
    </row>
    <row r="268" spans="1:3" x14ac:dyDescent="0.2">
      <c r="A268" t="s">
        <v>1452</v>
      </c>
      <c r="B268">
        <v>1</v>
      </c>
      <c r="C268">
        <v>0</v>
      </c>
    </row>
    <row r="269" spans="1:3" x14ac:dyDescent="0.2">
      <c r="A269" t="s">
        <v>1453</v>
      </c>
      <c r="B269">
        <v>1</v>
      </c>
      <c r="C269">
        <v>0</v>
      </c>
    </row>
    <row r="270" spans="1:3" x14ac:dyDescent="0.2">
      <c r="A270" t="s">
        <v>1454</v>
      </c>
      <c r="B270">
        <v>1</v>
      </c>
      <c r="C270">
        <v>0</v>
      </c>
    </row>
    <row r="271" spans="1:3" x14ac:dyDescent="0.2">
      <c r="A271" t="s">
        <v>1455</v>
      </c>
      <c r="B271">
        <v>1</v>
      </c>
      <c r="C271">
        <v>0</v>
      </c>
    </row>
    <row r="272" spans="1:3" x14ac:dyDescent="0.2">
      <c r="A272" t="s">
        <v>1456</v>
      </c>
      <c r="B272">
        <v>1</v>
      </c>
      <c r="C272">
        <v>0</v>
      </c>
    </row>
    <row r="273" spans="1:3" x14ac:dyDescent="0.2">
      <c r="A273" t="s">
        <v>1457</v>
      </c>
      <c r="B273">
        <v>1</v>
      </c>
      <c r="C273">
        <v>-1.110223024625156E-16</v>
      </c>
    </row>
    <row r="274" spans="1:3" x14ac:dyDescent="0.2">
      <c r="A274" t="s">
        <v>1458</v>
      </c>
      <c r="B274">
        <v>1</v>
      </c>
      <c r="C274">
        <v>0</v>
      </c>
    </row>
    <row r="275" spans="1:3" x14ac:dyDescent="0.2">
      <c r="A275" t="s">
        <v>1459</v>
      </c>
      <c r="B275">
        <v>1</v>
      </c>
      <c r="C275">
        <v>-1.110223024625156E-16</v>
      </c>
    </row>
    <row r="276" spans="1:3" x14ac:dyDescent="0.2">
      <c r="A276" t="s">
        <v>1460</v>
      </c>
      <c r="B276">
        <v>1</v>
      </c>
      <c r="C276">
        <v>0</v>
      </c>
    </row>
    <row r="277" spans="1:3" x14ac:dyDescent="0.2">
      <c r="A277" t="s">
        <v>1461</v>
      </c>
      <c r="B277">
        <v>1</v>
      </c>
      <c r="C277">
        <v>0</v>
      </c>
    </row>
    <row r="278" spans="1:3" x14ac:dyDescent="0.2">
      <c r="A278" t="s">
        <v>268</v>
      </c>
      <c r="B278">
        <v>0.98321315348245519</v>
      </c>
      <c r="C278">
        <v>-1.67868465175449E-2</v>
      </c>
    </row>
    <row r="279" spans="1:3" x14ac:dyDescent="0.2">
      <c r="A279" t="s">
        <v>270</v>
      </c>
      <c r="B279">
        <v>0.94359231686493183</v>
      </c>
      <c r="C279">
        <v>-5.6407683135068103E-2</v>
      </c>
    </row>
    <row r="280" spans="1:3" x14ac:dyDescent="0.2">
      <c r="A280" t="s">
        <v>1462</v>
      </c>
      <c r="B280">
        <v>1.1157622878821769</v>
      </c>
      <c r="C280">
        <v>0.11576228788217691</v>
      </c>
    </row>
    <row r="281" spans="1:3" x14ac:dyDescent="0.2">
      <c r="A281" t="s">
        <v>1463</v>
      </c>
      <c r="B281">
        <v>1</v>
      </c>
      <c r="C281">
        <v>0</v>
      </c>
    </row>
    <row r="282" spans="1:3" x14ac:dyDescent="0.2">
      <c r="A282" t="s">
        <v>1464</v>
      </c>
      <c r="B282">
        <v>1.048660265308218</v>
      </c>
      <c r="C282">
        <v>4.8660265308218403E-2</v>
      </c>
    </row>
    <row r="283" spans="1:3" x14ac:dyDescent="0.2">
      <c r="A283" t="s">
        <v>1465</v>
      </c>
      <c r="B283">
        <v>1.0158023419774611</v>
      </c>
      <c r="C283">
        <v>1.5802341977460801E-2</v>
      </c>
    </row>
    <row r="284" spans="1:3" x14ac:dyDescent="0.2">
      <c r="A284" t="s">
        <v>1466</v>
      </c>
      <c r="B284">
        <v>1</v>
      </c>
      <c r="C284">
        <v>0</v>
      </c>
    </row>
    <row r="285" spans="1:3" x14ac:dyDescent="0.2">
      <c r="A285" t="s">
        <v>1467</v>
      </c>
      <c r="B285">
        <v>1</v>
      </c>
      <c r="C285">
        <v>-1.110223024625156E-16</v>
      </c>
    </row>
    <row r="286" spans="1:3" x14ac:dyDescent="0.2">
      <c r="A286" t="s">
        <v>278</v>
      </c>
      <c r="B286">
        <v>1.081476576980597</v>
      </c>
      <c r="C286">
        <v>8.1476576980596696E-2</v>
      </c>
    </row>
    <row r="287" spans="1:3" x14ac:dyDescent="0.2">
      <c r="A287" t="s">
        <v>280</v>
      </c>
      <c r="B287">
        <v>1.1745879391054641</v>
      </c>
      <c r="C287">
        <v>0.1745879391054638</v>
      </c>
    </row>
    <row r="288" spans="1:3" x14ac:dyDescent="0.2">
      <c r="A288" t="s">
        <v>282</v>
      </c>
      <c r="B288">
        <v>1.100652078392975</v>
      </c>
      <c r="C288">
        <v>0.10065207839297489</v>
      </c>
    </row>
    <row r="289" spans="1:3" x14ac:dyDescent="0.2">
      <c r="A289" t="s">
        <v>1468</v>
      </c>
      <c r="B289">
        <v>1</v>
      </c>
      <c r="C289">
        <v>0</v>
      </c>
    </row>
    <row r="290" spans="1:3" x14ac:dyDescent="0.2">
      <c r="A290" t="s">
        <v>1469</v>
      </c>
      <c r="B290">
        <v>1</v>
      </c>
      <c r="C290">
        <v>0</v>
      </c>
    </row>
    <row r="291" spans="1:3" x14ac:dyDescent="0.2">
      <c r="A291" t="s">
        <v>1470</v>
      </c>
      <c r="B291">
        <v>1</v>
      </c>
      <c r="C291">
        <v>0</v>
      </c>
    </row>
    <row r="292" spans="1:3" x14ac:dyDescent="0.2">
      <c r="A292" t="s">
        <v>284</v>
      </c>
      <c r="B292">
        <v>1.008391795173696</v>
      </c>
      <c r="C292">
        <v>8.3917951736957996E-3</v>
      </c>
    </row>
    <row r="293" spans="1:3" x14ac:dyDescent="0.2">
      <c r="A293" t="s">
        <v>286</v>
      </c>
      <c r="B293">
        <v>1.086176951797625</v>
      </c>
      <c r="C293">
        <v>8.6176951797625106E-2</v>
      </c>
    </row>
    <row r="294" spans="1:3" x14ac:dyDescent="0.2">
      <c r="A294" t="s">
        <v>1471</v>
      </c>
      <c r="B294">
        <v>1</v>
      </c>
      <c r="C294">
        <v>0</v>
      </c>
    </row>
    <row r="295" spans="1:3" x14ac:dyDescent="0.2">
      <c r="A295" t="s">
        <v>1472</v>
      </c>
      <c r="B295">
        <v>1</v>
      </c>
      <c r="C295">
        <v>0</v>
      </c>
    </row>
    <row r="296" spans="1:3" x14ac:dyDescent="0.2">
      <c r="A296" t="s">
        <v>1473</v>
      </c>
      <c r="B296">
        <v>1</v>
      </c>
      <c r="C296">
        <v>0</v>
      </c>
    </row>
    <row r="297" spans="1:3" x14ac:dyDescent="0.2">
      <c r="A297" t="s">
        <v>288</v>
      </c>
      <c r="B297">
        <v>1.0463122013456709</v>
      </c>
      <c r="C297">
        <v>4.6312201345670899E-2</v>
      </c>
    </row>
    <row r="298" spans="1:3" x14ac:dyDescent="0.2">
      <c r="A298" t="s">
        <v>1474</v>
      </c>
      <c r="B298">
        <v>1</v>
      </c>
      <c r="C298">
        <v>0</v>
      </c>
    </row>
    <row r="299" spans="1:3" x14ac:dyDescent="0.2">
      <c r="A299" t="s">
        <v>290</v>
      </c>
      <c r="B299">
        <v>0.97104139784800036</v>
      </c>
      <c r="C299">
        <v>-2.89586021519996E-2</v>
      </c>
    </row>
    <row r="300" spans="1:3" x14ac:dyDescent="0.2">
      <c r="A300" t="s">
        <v>1475</v>
      </c>
      <c r="B300">
        <v>1</v>
      </c>
      <c r="C300">
        <v>0</v>
      </c>
    </row>
    <row r="301" spans="1:3" x14ac:dyDescent="0.2">
      <c r="A301" t="s">
        <v>1476</v>
      </c>
      <c r="B301">
        <v>1</v>
      </c>
      <c r="C301">
        <v>-1.110223024625156E-16</v>
      </c>
    </row>
    <row r="302" spans="1:3" x14ac:dyDescent="0.2">
      <c r="A302" t="s">
        <v>292</v>
      </c>
      <c r="B302">
        <v>1.0009146750389859</v>
      </c>
      <c r="C302">
        <v>9.1467503898610004E-4</v>
      </c>
    </row>
    <row r="303" spans="1:3" x14ac:dyDescent="0.2">
      <c r="A303" t="s">
        <v>1477</v>
      </c>
      <c r="B303">
        <v>1</v>
      </c>
      <c r="C303">
        <v>0</v>
      </c>
    </row>
    <row r="304" spans="1:3" x14ac:dyDescent="0.2">
      <c r="A304" t="s">
        <v>1478</v>
      </c>
      <c r="B304">
        <v>1</v>
      </c>
      <c r="C304">
        <v>0</v>
      </c>
    </row>
    <row r="305" spans="1:3" x14ac:dyDescent="0.2">
      <c r="A305" t="s">
        <v>294</v>
      </c>
      <c r="B305">
        <v>0.98422279791230161</v>
      </c>
      <c r="C305">
        <v>-1.5777202087698498E-2</v>
      </c>
    </row>
    <row r="306" spans="1:3" x14ac:dyDescent="0.2">
      <c r="A306" t="s">
        <v>296</v>
      </c>
      <c r="B306">
        <v>0.98785898919908599</v>
      </c>
      <c r="C306">
        <v>-1.21410108009141E-2</v>
      </c>
    </row>
    <row r="307" spans="1:3" x14ac:dyDescent="0.2">
      <c r="A307" t="s">
        <v>1479</v>
      </c>
      <c r="B307">
        <v>1.008897795591182</v>
      </c>
      <c r="C307">
        <v>8.8977955911823999E-3</v>
      </c>
    </row>
    <row r="308" spans="1:3" x14ac:dyDescent="0.2">
      <c r="A308" t="s">
        <v>1480</v>
      </c>
      <c r="B308">
        <v>1.039225702768106</v>
      </c>
      <c r="C308">
        <v>3.9225702768106198E-2</v>
      </c>
    </row>
    <row r="309" spans="1:3" x14ac:dyDescent="0.2">
      <c r="A309" t="s">
        <v>1481</v>
      </c>
      <c r="B309">
        <v>1.0287555537375119</v>
      </c>
      <c r="C309">
        <v>2.8755553737511898E-2</v>
      </c>
    </row>
    <row r="310" spans="1:3" x14ac:dyDescent="0.2">
      <c r="A310" t="s">
        <v>302</v>
      </c>
      <c r="B310">
        <v>1.0871870236043939</v>
      </c>
      <c r="C310">
        <v>8.7187023604393399E-2</v>
      </c>
    </row>
    <row r="311" spans="1:3" x14ac:dyDescent="0.2">
      <c r="A311" t="s">
        <v>1482</v>
      </c>
      <c r="B311">
        <v>1</v>
      </c>
      <c r="C311">
        <v>0</v>
      </c>
    </row>
    <row r="312" spans="1:3" x14ac:dyDescent="0.2">
      <c r="A312" t="s">
        <v>1483</v>
      </c>
      <c r="B312">
        <v>1</v>
      </c>
      <c r="C312">
        <v>0</v>
      </c>
    </row>
    <row r="313" spans="1:3" x14ac:dyDescent="0.2">
      <c r="A313" t="s">
        <v>1484</v>
      </c>
      <c r="B313">
        <v>1.0523886444187811</v>
      </c>
      <c r="C313">
        <v>5.2388644418780599E-2</v>
      </c>
    </row>
    <row r="314" spans="1:3" x14ac:dyDescent="0.2">
      <c r="A314" t="s">
        <v>308</v>
      </c>
      <c r="B314">
        <v>1.143278052381699</v>
      </c>
      <c r="C314">
        <v>0.14327805238169941</v>
      </c>
    </row>
    <row r="315" spans="1:3" x14ac:dyDescent="0.2">
      <c r="A315" t="s">
        <v>310</v>
      </c>
      <c r="B315">
        <v>1.078639253373292</v>
      </c>
      <c r="C315">
        <v>7.8639253373292403E-2</v>
      </c>
    </row>
    <row r="316" spans="1:3" x14ac:dyDescent="0.2">
      <c r="A316" t="s">
        <v>1485</v>
      </c>
      <c r="B316">
        <v>1</v>
      </c>
      <c r="C316">
        <v>0</v>
      </c>
    </row>
    <row r="317" spans="1:3" x14ac:dyDescent="0.2">
      <c r="A317" t="s">
        <v>312</v>
      </c>
      <c r="B317">
        <v>1.058651072589923</v>
      </c>
      <c r="C317">
        <v>5.8651072589923102E-2</v>
      </c>
    </row>
    <row r="318" spans="1:3" x14ac:dyDescent="0.2">
      <c r="A318" t="s">
        <v>1486</v>
      </c>
      <c r="B318">
        <v>1.001933802598115</v>
      </c>
      <c r="C318">
        <v>1.9338025981148E-3</v>
      </c>
    </row>
    <row r="319" spans="1:3" x14ac:dyDescent="0.2">
      <c r="A319" t="s">
        <v>316</v>
      </c>
      <c r="B319">
        <v>1.143379408894069</v>
      </c>
      <c r="C319">
        <v>0.14337940889406889</v>
      </c>
    </row>
    <row r="320" spans="1:3" x14ac:dyDescent="0.2">
      <c r="A320" t="s">
        <v>1487</v>
      </c>
      <c r="B320">
        <v>1</v>
      </c>
      <c r="C320">
        <v>0</v>
      </c>
    </row>
    <row r="321" spans="1:3" x14ac:dyDescent="0.2">
      <c r="A321" t="s">
        <v>1488</v>
      </c>
      <c r="B321">
        <v>1</v>
      </c>
      <c r="C321">
        <v>0</v>
      </c>
    </row>
    <row r="322" spans="1:3" x14ac:dyDescent="0.2">
      <c r="A322" t="s">
        <v>1489</v>
      </c>
      <c r="B322">
        <v>1</v>
      </c>
      <c r="C322">
        <v>0</v>
      </c>
    </row>
    <row r="323" spans="1:3" x14ac:dyDescent="0.2">
      <c r="A323" t="s">
        <v>318</v>
      </c>
      <c r="B323">
        <v>1.1125255463528929</v>
      </c>
      <c r="C323">
        <v>0.1125255463528929</v>
      </c>
    </row>
    <row r="324" spans="1:3" x14ac:dyDescent="0.2">
      <c r="A324" t="s">
        <v>1490</v>
      </c>
      <c r="B324">
        <v>1</v>
      </c>
      <c r="C324">
        <v>0</v>
      </c>
    </row>
    <row r="325" spans="1:3" x14ac:dyDescent="0.2">
      <c r="A325" t="s">
        <v>1491</v>
      </c>
      <c r="B325">
        <v>1</v>
      </c>
      <c r="C325">
        <v>0</v>
      </c>
    </row>
    <row r="326" spans="1:3" x14ac:dyDescent="0.2">
      <c r="A326" t="s">
        <v>1492</v>
      </c>
      <c r="B326">
        <v>1</v>
      </c>
      <c r="C326">
        <v>0</v>
      </c>
    </row>
    <row r="327" spans="1:3" x14ac:dyDescent="0.2">
      <c r="A327" t="s">
        <v>320</v>
      </c>
      <c r="B327">
        <v>0.97658315244796423</v>
      </c>
      <c r="C327">
        <v>-2.3416847552035699E-2</v>
      </c>
    </row>
    <row r="328" spans="1:3" x14ac:dyDescent="0.2">
      <c r="A328" t="s">
        <v>1493</v>
      </c>
      <c r="B328">
        <v>1</v>
      </c>
      <c r="C328">
        <v>0</v>
      </c>
    </row>
    <row r="329" spans="1:3" x14ac:dyDescent="0.2">
      <c r="A329" t="s">
        <v>1494</v>
      </c>
      <c r="B329">
        <v>1</v>
      </c>
      <c r="C329">
        <v>0</v>
      </c>
    </row>
    <row r="330" spans="1:3" x14ac:dyDescent="0.2">
      <c r="A330" t="s">
        <v>1495</v>
      </c>
      <c r="B330">
        <v>1</v>
      </c>
      <c r="C330">
        <v>0</v>
      </c>
    </row>
    <row r="331" spans="1:3" x14ac:dyDescent="0.2">
      <c r="A331" t="s">
        <v>322</v>
      </c>
      <c r="B331">
        <v>1.1724059614886</v>
      </c>
      <c r="C331">
        <v>0.17240596148859971</v>
      </c>
    </row>
    <row r="332" spans="1:3" x14ac:dyDescent="0.2">
      <c r="A332" t="s">
        <v>324</v>
      </c>
      <c r="B332">
        <v>1.062405741953927</v>
      </c>
      <c r="C332">
        <v>6.2405741953927202E-2</v>
      </c>
    </row>
    <row r="333" spans="1:3" x14ac:dyDescent="0.2">
      <c r="A333" t="s">
        <v>326</v>
      </c>
      <c r="B333">
        <v>1.0601947899447881</v>
      </c>
      <c r="C333">
        <v>6.0194789944787601E-2</v>
      </c>
    </row>
    <row r="334" spans="1:3" x14ac:dyDescent="0.2">
      <c r="A334" t="s">
        <v>1496</v>
      </c>
      <c r="B334">
        <v>1</v>
      </c>
      <c r="C334">
        <v>-1.110223024625156E-16</v>
      </c>
    </row>
    <row r="335" spans="1:3" x14ac:dyDescent="0.2">
      <c r="A335" t="s">
        <v>1497</v>
      </c>
      <c r="B335">
        <v>1.0820877384093239</v>
      </c>
      <c r="C335">
        <v>8.2087738409324096E-2</v>
      </c>
    </row>
    <row r="336" spans="1:3" x14ac:dyDescent="0.2">
      <c r="A336" t="s">
        <v>328</v>
      </c>
      <c r="B336">
        <v>0.95765720615178196</v>
      </c>
      <c r="C336">
        <v>-4.2342793848217902E-2</v>
      </c>
    </row>
    <row r="337" spans="1:3" x14ac:dyDescent="0.2">
      <c r="A337" t="s">
        <v>1498</v>
      </c>
      <c r="B337">
        <v>1</v>
      </c>
      <c r="C337">
        <v>0</v>
      </c>
    </row>
    <row r="338" spans="1:3" x14ac:dyDescent="0.2">
      <c r="A338" t="s">
        <v>332</v>
      </c>
      <c r="B338">
        <v>1.086497478623524</v>
      </c>
      <c r="C338">
        <v>8.6497478623524401E-2</v>
      </c>
    </row>
    <row r="339" spans="1:3" x14ac:dyDescent="0.2">
      <c r="A339" t="s">
        <v>1499</v>
      </c>
      <c r="B339">
        <v>1</v>
      </c>
      <c r="C339">
        <v>0</v>
      </c>
    </row>
    <row r="340" spans="1:3" x14ac:dyDescent="0.2">
      <c r="A340" t="s">
        <v>1500</v>
      </c>
      <c r="B340">
        <v>1</v>
      </c>
      <c r="C340">
        <v>0</v>
      </c>
    </row>
    <row r="341" spans="1:3" x14ac:dyDescent="0.2">
      <c r="A341" t="s">
        <v>1501</v>
      </c>
      <c r="B341">
        <v>1</v>
      </c>
      <c r="C341">
        <v>0</v>
      </c>
    </row>
    <row r="342" spans="1:3" x14ac:dyDescent="0.2">
      <c r="A342" t="s">
        <v>1502</v>
      </c>
      <c r="B342">
        <v>1</v>
      </c>
      <c r="C342">
        <v>0</v>
      </c>
    </row>
    <row r="343" spans="1:3" x14ac:dyDescent="0.2">
      <c r="A343" t="s">
        <v>334</v>
      </c>
      <c r="B343">
        <v>1.178447765701824</v>
      </c>
      <c r="C343">
        <v>0.17844776570182419</v>
      </c>
    </row>
    <row r="344" spans="1:3" x14ac:dyDescent="0.2">
      <c r="A344" t="s">
        <v>1503</v>
      </c>
      <c r="B344">
        <v>1</v>
      </c>
      <c r="C344">
        <v>0</v>
      </c>
    </row>
    <row r="345" spans="1:3" x14ac:dyDescent="0.2">
      <c r="A345" t="s">
        <v>336</v>
      </c>
      <c r="B345">
        <v>1.0146184026202969</v>
      </c>
      <c r="C345">
        <v>1.4618402620297099E-2</v>
      </c>
    </row>
    <row r="346" spans="1:3" x14ac:dyDescent="0.2">
      <c r="A346" t="s">
        <v>1504</v>
      </c>
      <c r="B346">
        <v>1</v>
      </c>
      <c r="C346">
        <v>0</v>
      </c>
    </row>
    <row r="347" spans="1:3" x14ac:dyDescent="0.2">
      <c r="A347" t="s">
        <v>338</v>
      </c>
      <c r="B347">
        <v>1.044644475351828</v>
      </c>
      <c r="C347">
        <v>4.4644475351827501E-2</v>
      </c>
    </row>
    <row r="348" spans="1:3" x14ac:dyDescent="0.2">
      <c r="A348" t="s">
        <v>1505</v>
      </c>
      <c r="B348">
        <v>1</v>
      </c>
      <c r="C348">
        <v>0</v>
      </c>
    </row>
    <row r="349" spans="1:3" x14ac:dyDescent="0.2">
      <c r="A349" t="s">
        <v>1506</v>
      </c>
      <c r="B349">
        <v>1</v>
      </c>
      <c r="C349">
        <v>0</v>
      </c>
    </row>
    <row r="350" spans="1:3" x14ac:dyDescent="0.2">
      <c r="A350" t="s">
        <v>340</v>
      </c>
      <c r="B350">
        <v>1.0228543164370849</v>
      </c>
      <c r="C350">
        <v>2.2854316437084601E-2</v>
      </c>
    </row>
    <row r="351" spans="1:3" x14ac:dyDescent="0.2">
      <c r="A351" t="s">
        <v>342</v>
      </c>
      <c r="B351">
        <v>1.0527252512525671</v>
      </c>
      <c r="C351">
        <v>5.2725251252566802E-2</v>
      </c>
    </row>
    <row r="352" spans="1:3" x14ac:dyDescent="0.2">
      <c r="A352" t="s">
        <v>1507</v>
      </c>
      <c r="B352">
        <v>1.070564346633061</v>
      </c>
      <c r="C352">
        <v>7.0564346633061395E-2</v>
      </c>
    </row>
    <row r="353" spans="1:3" x14ac:dyDescent="0.2">
      <c r="A353" t="s">
        <v>1508</v>
      </c>
      <c r="B353">
        <v>1</v>
      </c>
      <c r="C353">
        <v>-1.110223024625156E-16</v>
      </c>
    </row>
    <row r="354" spans="1:3" x14ac:dyDescent="0.2">
      <c r="A354" t="s">
        <v>1509</v>
      </c>
      <c r="B354">
        <v>1</v>
      </c>
      <c r="C354">
        <v>0</v>
      </c>
    </row>
    <row r="355" spans="1:3" x14ac:dyDescent="0.2">
      <c r="A355" t="s">
        <v>344</v>
      </c>
      <c r="B355">
        <v>1.0059816251396181</v>
      </c>
      <c r="C355">
        <v>5.9816251396180003E-3</v>
      </c>
    </row>
    <row r="356" spans="1:3" x14ac:dyDescent="0.2">
      <c r="A356" t="s">
        <v>1510</v>
      </c>
      <c r="B356">
        <v>1.1363284090854839</v>
      </c>
      <c r="C356">
        <v>0.13632840908548391</v>
      </c>
    </row>
    <row r="357" spans="1:3" x14ac:dyDescent="0.2">
      <c r="A357" t="s">
        <v>350</v>
      </c>
      <c r="B357">
        <v>1.063947499528721</v>
      </c>
      <c r="C357">
        <v>6.3947499528721197E-2</v>
      </c>
    </row>
    <row r="358" spans="1:3" x14ac:dyDescent="0.2">
      <c r="A358" t="s">
        <v>1511</v>
      </c>
      <c r="B358">
        <v>1</v>
      </c>
      <c r="C358">
        <v>0</v>
      </c>
    </row>
    <row r="359" spans="1:3" x14ac:dyDescent="0.2">
      <c r="A359" t="s">
        <v>1512</v>
      </c>
      <c r="B359">
        <v>1.000423594196759</v>
      </c>
      <c r="C359">
        <v>4.2359419675940002E-4</v>
      </c>
    </row>
    <row r="360" spans="1:3" x14ac:dyDescent="0.2">
      <c r="A360" t="s">
        <v>352</v>
      </c>
      <c r="B360">
        <v>1.012126558331828</v>
      </c>
      <c r="C360">
        <v>1.21265583318277E-2</v>
      </c>
    </row>
    <row r="361" spans="1:3" x14ac:dyDescent="0.2">
      <c r="A361" t="s">
        <v>1513</v>
      </c>
      <c r="B361">
        <v>1</v>
      </c>
      <c r="C361">
        <v>0</v>
      </c>
    </row>
    <row r="362" spans="1:3" x14ac:dyDescent="0.2">
      <c r="A362" t="s">
        <v>1514</v>
      </c>
      <c r="B362">
        <v>1</v>
      </c>
      <c r="C362">
        <v>0</v>
      </c>
    </row>
    <row r="363" spans="1:3" x14ac:dyDescent="0.2">
      <c r="A363" t="s">
        <v>1515</v>
      </c>
      <c r="B363">
        <v>1</v>
      </c>
      <c r="C363">
        <v>0</v>
      </c>
    </row>
    <row r="364" spans="1:3" x14ac:dyDescent="0.2">
      <c r="A364" t="s">
        <v>1516</v>
      </c>
      <c r="B364">
        <v>1</v>
      </c>
      <c r="C364">
        <v>0</v>
      </c>
    </row>
    <row r="365" spans="1:3" x14ac:dyDescent="0.2">
      <c r="A365" t="s">
        <v>354</v>
      </c>
      <c r="B365">
        <v>1.0274754585015</v>
      </c>
      <c r="C365">
        <v>2.7475458501500401E-2</v>
      </c>
    </row>
    <row r="366" spans="1:3" x14ac:dyDescent="0.2">
      <c r="A366" t="s">
        <v>1517</v>
      </c>
      <c r="B366">
        <v>1</v>
      </c>
      <c r="C366">
        <v>0</v>
      </c>
    </row>
    <row r="367" spans="1:3" x14ac:dyDescent="0.2">
      <c r="A367" t="s">
        <v>356</v>
      </c>
      <c r="B367">
        <v>1.1572037689636161</v>
      </c>
      <c r="C367">
        <v>0.1572037689636161</v>
      </c>
    </row>
    <row r="368" spans="1:3" x14ac:dyDescent="0.2">
      <c r="A368" t="s">
        <v>1518</v>
      </c>
      <c r="B368">
        <v>1</v>
      </c>
      <c r="C368">
        <v>0</v>
      </c>
    </row>
    <row r="369" spans="1:3" x14ac:dyDescent="0.2">
      <c r="A369" t="s">
        <v>1519</v>
      </c>
      <c r="B369">
        <v>1.02539880667771</v>
      </c>
      <c r="C369">
        <v>2.5398806677710401E-2</v>
      </c>
    </row>
    <row r="370" spans="1:3" x14ac:dyDescent="0.2">
      <c r="A370" t="s">
        <v>1520</v>
      </c>
      <c r="B370">
        <v>1</v>
      </c>
      <c r="C370">
        <v>0</v>
      </c>
    </row>
    <row r="371" spans="1:3" x14ac:dyDescent="0.2">
      <c r="A371" t="s">
        <v>1521</v>
      </c>
      <c r="B371">
        <v>0.97975461590496205</v>
      </c>
      <c r="C371">
        <v>-2.0245384095037899E-2</v>
      </c>
    </row>
    <row r="372" spans="1:3" x14ac:dyDescent="0.2">
      <c r="A372" t="s">
        <v>1522</v>
      </c>
      <c r="B372">
        <v>1</v>
      </c>
      <c r="C372">
        <v>0</v>
      </c>
    </row>
    <row r="373" spans="1:3" x14ac:dyDescent="0.2">
      <c r="A373" t="s">
        <v>1523</v>
      </c>
      <c r="B373">
        <v>1</v>
      </c>
      <c r="C373">
        <v>0</v>
      </c>
    </row>
    <row r="374" spans="1:3" x14ac:dyDescent="0.2">
      <c r="A374" t="s">
        <v>1524</v>
      </c>
      <c r="B374">
        <v>0.98362940696585621</v>
      </c>
      <c r="C374">
        <v>-1.6370593034143701E-2</v>
      </c>
    </row>
    <row r="375" spans="1:3" x14ac:dyDescent="0.2">
      <c r="A375" t="s">
        <v>364</v>
      </c>
      <c r="B375">
        <v>1.0027379024555789</v>
      </c>
      <c r="C375">
        <v>2.7379024555789001E-3</v>
      </c>
    </row>
    <row r="376" spans="1:3" x14ac:dyDescent="0.2">
      <c r="A376" t="s">
        <v>1525</v>
      </c>
      <c r="B376">
        <v>1</v>
      </c>
      <c r="C376">
        <v>0</v>
      </c>
    </row>
    <row r="377" spans="1:3" x14ac:dyDescent="0.2">
      <c r="A377" t="s">
        <v>1526</v>
      </c>
      <c r="B377">
        <v>1</v>
      </c>
      <c r="C377">
        <v>-1.110223024625156E-16</v>
      </c>
    </row>
    <row r="378" spans="1:3" x14ac:dyDescent="0.2">
      <c r="A378" t="s">
        <v>1527</v>
      </c>
      <c r="B378">
        <v>1</v>
      </c>
      <c r="C378">
        <v>0</v>
      </c>
    </row>
    <row r="379" spans="1:3" x14ac:dyDescent="0.2">
      <c r="A379" t="s">
        <v>366</v>
      </c>
      <c r="B379">
        <v>0.96106775272634082</v>
      </c>
      <c r="C379">
        <v>-3.8932247273659001E-2</v>
      </c>
    </row>
    <row r="380" spans="1:3" x14ac:dyDescent="0.2">
      <c r="A380" t="s">
        <v>368</v>
      </c>
      <c r="B380">
        <v>1.0367763772552849</v>
      </c>
      <c r="C380">
        <v>3.6776377255284903E-2</v>
      </c>
    </row>
    <row r="381" spans="1:3" x14ac:dyDescent="0.2">
      <c r="A381" t="s">
        <v>1528</v>
      </c>
      <c r="B381">
        <v>1.066036530023684</v>
      </c>
      <c r="C381">
        <v>6.6036530023683801E-2</v>
      </c>
    </row>
    <row r="382" spans="1:3" x14ac:dyDescent="0.2">
      <c r="A382" t="s">
        <v>1529</v>
      </c>
      <c r="B382">
        <v>1</v>
      </c>
      <c r="C382">
        <v>-1.110223024625156E-16</v>
      </c>
    </row>
    <row r="383" spans="1:3" x14ac:dyDescent="0.2">
      <c r="A383" t="s">
        <v>1530</v>
      </c>
      <c r="B383">
        <v>1</v>
      </c>
      <c r="C383">
        <v>0</v>
      </c>
    </row>
    <row r="384" spans="1:3" x14ac:dyDescent="0.2">
      <c r="A384" t="s">
        <v>1531</v>
      </c>
      <c r="B384">
        <v>0.9823022709475332</v>
      </c>
      <c r="C384">
        <v>-1.7697729052466599E-2</v>
      </c>
    </row>
    <row r="385" spans="1:3" x14ac:dyDescent="0.2">
      <c r="A385" t="s">
        <v>1532</v>
      </c>
      <c r="B385">
        <v>1</v>
      </c>
      <c r="C385">
        <v>0</v>
      </c>
    </row>
    <row r="386" spans="1:3" x14ac:dyDescent="0.2">
      <c r="A386" t="s">
        <v>1533</v>
      </c>
      <c r="B386">
        <v>1.092043678913164</v>
      </c>
      <c r="C386">
        <v>9.2043678913163507E-2</v>
      </c>
    </row>
    <row r="387" spans="1:3" x14ac:dyDescent="0.2">
      <c r="A387" t="s">
        <v>1534</v>
      </c>
      <c r="B387">
        <v>1</v>
      </c>
      <c r="C387">
        <v>-1.110223024625156E-16</v>
      </c>
    </row>
    <row r="388" spans="1:3" x14ac:dyDescent="0.2">
      <c r="A388" t="s">
        <v>1535</v>
      </c>
      <c r="B388">
        <v>1</v>
      </c>
      <c r="C388">
        <v>0</v>
      </c>
    </row>
    <row r="389" spans="1:3" x14ac:dyDescent="0.2">
      <c r="A389" t="s">
        <v>1536</v>
      </c>
      <c r="B389">
        <v>1</v>
      </c>
      <c r="C389">
        <v>0</v>
      </c>
    </row>
    <row r="390" spans="1:3" x14ac:dyDescent="0.2">
      <c r="A390" t="s">
        <v>1537</v>
      </c>
      <c r="B390">
        <v>1</v>
      </c>
      <c r="C390">
        <v>0</v>
      </c>
    </row>
    <row r="391" spans="1:3" x14ac:dyDescent="0.2">
      <c r="A391" t="s">
        <v>1538</v>
      </c>
      <c r="B391">
        <v>0.94673726236452937</v>
      </c>
      <c r="C391">
        <v>-5.3262737635470597E-2</v>
      </c>
    </row>
    <row r="392" spans="1:3" x14ac:dyDescent="0.2">
      <c r="A392" t="s">
        <v>1539</v>
      </c>
      <c r="B392">
        <v>1.0604663844225479</v>
      </c>
      <c r="C392">
        <v>6.0466384422548099E-2</v>
      </c>
    </row>
    <row r="393" spans="1:3" x14ac:dyDescent="0.2">
      <c r="A393" t="s">
        <v>380</v>
      </c>
      <c r="B393">
        <v>1.0561018485438449</v>
      </c>
      <c r="C393">
        <v>5.6101848543844701E-2</v>
      </c>
    </row>
    <row r="394" spans="1:3" x14ac:dyDescent="0.2">
      <c r="A394" t="s">
        <v>1540</v>
      </c>
      <c r="B394">
        <v>0.97967974425213122</v>
      </c>
      <c r="C394">
        <v>-2.03202557478687E-2</v>
      </c>
    </row>
    <row r="395" spans="1:3" x14ac:dyDescent="0.2">
      <c r="A395" t="s">
        <v>382</v>
      </c>
      <c r="B395">
        <v>0.98241808801887376</v>
      </c>
      <c r="C395">
        <v>-1.75819119811262E-2</v>
      </c>
    </row>
    <row r="396" spans="1:3" x14ac:dyDescent="0.2">
      <c r="A396" t="s">
        <v>384</v>
      </c>
      <c r="B396">
        <v>1.0229110489069739</v>
      </c>
      <c r="C396">
        <v>2.2911048906973399E-2</v>
      </c>
    </row>
    <row r="397" spans="1:3" x14ac:dyDescent="0.2">
      <c r="A397" t="s">
        <v>386</v>
      </c>
      <c r="B397">
        <v>0.95294508094672059</v>
      </c>
      <c r="C397">
        <v>-4.7054919053279402E-2</v>
      </c>
    </row>
    <row r="398" spans="1:3" x14ac:dyDescent="0.2">
      <c r="A398" t="s">
        <v>1541</v>
      </c>
      <c r="B398">
        <v>1</v>
      </c>
      <c r="C398">
        <v>0</v>
      </c>
    </row>
    <row r="399" spans="1:3" x14ac:dyDescent="0.2">
      <c r="A399" t="s">
        <v>388</v>
      </c>
      <c r="B399">
        <v>1.077022214789505</v>
      </c>
      <c r="C399">
        <v>7.7022214789504703E-2</v>
      </c>
    </row>
    <row r="400" spans="1:3" x14ac:dyDescent="0.2">
      <c r="A400" t="s">
        <v>1542</v>
      </c>
      <c r="B400">
        <v>1.0793348149358211</v>
      </c>
      <c r="C400">
        <v>7.9334814935820799E-2</v>
      </c>
    </row>
    <row r="401" spans="1:3" x14ac:dyDescent="0.2">
      <c r="A401" t="s">
        <v>1543</v>
      </c>
      <c r="B401">
        <v>1</v>
      </c>
      <c r="C401">
        <v>0</v>
      </c>
    </row>
    <row r="402" spans="1:3" x14ac:dyDescent="0.2">
      <c r="A402" t="s">
        <v>390</v>
      </c>
      <c r="B402">
        <v>1.0340378725823141</v>
      </c>
      <c r="C402">
        <v>3.4037872582313999E-2</v>
      </c>
    </row>
    <row r="403" spans="1:3" x14ac:dyDescent="0.2">
      <c r="A403" t="s">
        <v>1544</v>
      </c>
      <c r="B403">
        <v>1.0960265804924669</v>
      </c>
      <c r="C403">
        <v>9.6026580492467095E-2</v>
      </c>
    </row>
    <row r="404" spans="1:3" x14ac:dyDescent="0.2">
      <c r="A404" t="s">
        <v>394</v>
      </c>
      <c r="B404">
        <v>1.0793995060536441</v>
      </c>
      <c r="C404">
        <v>7.9399506053644306E-2</v>
      </c>
    </row>
    <row r="405" spans="1:3" x14ac:dyDescent="0.2">
      <c r="A405" t="s">
        <v>396</v>
      </c>
      <c r="B405">
        <v>1.015762454788838</v>
      </c>
      <c r="C405">
        <v>1.5762454788837699E-2</v>
      </c>
    </row>
    <row r="406" spans="1:3" x14ac:dyDescent="0.2">
      <c r="A406" t="s">
        <v>1545</v>
      </c>
      <c r="B406">
        <v>1.0311772489764111</v>
      </c>
      <c r="C406">
        <v>3.1177248976410599E-2</v>
      </c>
    </row>
    <row r="407" spans="1:3" x14ac:dyDescent="0.2">
      <c r="A407" t="s">
        <v>1546</v>
      </c>
      <c r="B407">
        <v>1.008058800367502</v>
      </c>
      <c r="C407">
        <v>8.0588003675020996E-3</v>
      </c>
    </row>
    <row r="408" spans="1:3" x14ac:dyDescent="0.2">
      <c r="A408" t="s">
        <v>1547</v>
      </c>
      <c r="B408">
        <v>0.99218976647745805</v>
      </c>
      <c r="C408">
        <v>-7.8102335225419001E-3</v>
      </c>
    </row>
    <row r="409" spans="1:3" x14ac:dyDescent="0.2">
      <c r="A409" t="s">
        <v>402</v>
      </c>
      <c r="B409">
        <v>1.0770540724051321</v>
      </c>
      <c r="C409">
        <v>7.7054072405131596E-2</v>
      </c>
    </row>
    <row r="410" spans="1:3" x14ac:dyDescent="0.2">
      <c r="A410" t="s">
        <v>404</v>
      </c>
      <c r="B410">
        <v>1.041653139637748</v>
      </c>
      <c r="C410">
        <v>4.1653139637748103E-2</v>
      </c>
    </row>
    <row r="411" spans="1:3" x14ac:dyDescent="0.2">
      <c r="A411" t="s">
        <v>406</v>
      </c>
      <c r="B411">
        <v>1.0943523977864791</v>
      </c>
      <c r="C411">
        <v>9.4352397786478998E-2</v>
      </c>
    </row>
    <row r="412" spans="1:3" x14ac:dyDescent="0.2">
      <c r="A412" t="s">
        <v>408</v>
      </c>
      <c r="B412">
        <v>1.0578224060353101</v>
      </c>
      <c r="C412">
        <v>5.7822406035309998E-2</v>
      </c>
    </row>
    <row r="413" spans="1:3" x14ac:dyDescent="0.2">
      <c r="A413" t="s">
        <v>1548</v>
      </c>
      <c r="B413">
        <v>1</v>
      </c>
      <c r="C413">
        <v>-1.110223024625156E-16</v>
      </c>
    </row>
    <row r="414" spans="1:3" x14ac:dyDescent="0.2">
      <c r="A414" t="s">
        <v>1549</v>
      </c>
      <c r="B414">
        <v>1</v>
      </c>
      <c r="C414">
        <v>0</v>
      </c>
    </row>
    <row r="415" spans="1:3" x14ac:dyDescent="0.2">
      <c r="A415" t="s">
        <v>410</v>
      </c>
      <c r="B415">
        <v>0.98688442856780245</v>
      </c>
      <c r="C415">
        <v>-1.3115571432197499E-2</v>
      </c>
    </row>
    <row r="416" spans="1:3" x14ac:dyDescent="0.2">
      <c r="A416" t="s">
        <v>1550</v>
      </c>
      <c r="B416">
        <v>1.00191633098623</v>
      </c>
      <c r="C416">
        <v>1.91633098623E-3</v>
      </c>
    </row>
    <row r="417" spans="1:3" x14ac:dyDescent="0.2">
      <c r="A417" t="s">
        <v>414</v>
      </c>
      <c r="B417">
        <v>1.0380297320891549</v>
      </c>
      <c r="C417">
        <v>3.8029732089155097E-2</v>
      </c>
    </row>
    <row r="418" spans="1:3" x14ac:dyDescent="0.2">
      <c r="A418" t="s">
        <v>1551</v>
      </c>
      <c r="B418">
        <v>1</v>
      </c>
      <c r="C418">
        <v>0</v>
      </c>
    </row>
    <row r="419" spans="1:3" x14ac:dyDescent="0.2">
      <c r="A419" t="s">
        <v>416</v>
      </c>
      <c r="B419">
        <v>0.9984729476617582</v>
      </c>
      <c r="C419">
        <v>-1.5270523382416999E-3</v>
      </c>
    </row>
    <row r="420" spans="1:3" x14ac:dyDescent="0.2">
      <c r="A420" t="s">
        <v>418</v>
      </c>
      <c r="B420">
        <v>1.017721594557752</v>
      </c>
      <c r="C420">
        <v>1.7721594557751699E-2</v>
      </c>
    </row>
    <row r="421" spans="1:3" x14ac:dyDescent="0.2">
      <c r="A421" t="s">
        <v>1552</v>
      </c>
      <c r="B421">
        <v>1</v>
      </c>
      <c r="C421">
        <v>0</v>
      </c>
    </row>
    <row r="422" spans="1:3" x14ac:dyDescent="0.2">
      <c r="A422" t="s">
        <v>420</v>
      </c>
      <c r="B422">
        <v>1.046122593755314</v>
      </c>
      <c r="C422">
        <v>4.6122593755314398E-2</v>
      </c>
    </row>
    <row r="423" spans="1:3" x14ac:dyDescent="0.2">
      <c r="A423" t="s">
        <v>422</v>
      </c>
      <c r="B423">
        <v>0.99593344166745001</v>
      </c>
      <c r="C423">
        <v>-4.0665583325497998E-3</v>
      </c>
    </row>
    <row r="424" spans="1:3" x14ac:dyDescent="0.2">
      <c r="A424" t="s">
        <v>424</v>
      </c>
      <c r="B424">
        <v>1.0482483661305839</v>
      </c>
      <c r="C424">
        <v>4.8248366130583697E-2</v>
      </c>
    </row>
    <row r="425" spans="1:3" x14ac:dyDescent="0.2">
      <c r="A425" t="s">
        <v>426</v>
      </c>
      <c r="B425">
        <v>0.98717866547215838</v>
      </c>
      <c r="C425">
        <v>-1.28213345278416E-2</v>
      </c>
    </row>
    <row r="426" spans="1:3" x14ac:dyDescent="0.2">
      <c r="A426" t="s">
        <v>428</v>
      </c>
      <c r="B426">
        <v>0.98230953123553577</v>
      </c>
      <c r="C426">
        <v>-1.7690468764464201E-2</v>
      </c>
    </row>
    <row r="427" spans="1:3" x14ac:dyDescent="0.2">
      <c r="A427" t="s">
        <v>1553</v>
      </c>
      <c r="B427">
        <v>1</v>
      </c>
      <c r="C427">
        <v>0</v>
      </c>
    </row>
    <row r="428" spans="1:3" x14ac:dyDescent="0.2">
      <c r="A428" t="s">
        <v>1554</v>
      </c>
      <c r="B428">
        <v>1</v>
      </c>
      <c r="C428">
        <v>0</v>
      </c>
    </row>
    <row r="429" spans="1:3" x14ac:dyDescent="0.2">
      <c r="A429" t="s">
        <v>1555</v>
      </c>
      <c r="B429">
        <v>1</v>
      </c>
      <c r="C429">
        <v>0</v>
      </c>
    </row>
    <row r="430" spans="1:3" x14ac:dyDescent="0.2">
      <c r="A430" t="s">
        <v>1556</v>
      </c>
      <c r="B430">
        <v>1</v>
      </c>
      <c r="C430">
        <v>0</v>
      </c>
    </row>
    <row r="431" spans="1:3" x14ac:dyDescent="0.2">
      <c r="A431" t="s">
        <v>1557</v>
      </c>
      <c r="B431">
        <v>1</v>
      </c>
      <c r="C431">
        <v>0</v>
      </c>
    </row>
    <row r="432" spans="1:3" x14ac:dyDescent="0.2">
      <c r="A432" t="s">
        <v>1558</v>
      </c>
      <c r="B432">
        <v>1.048805691743484</v>
      </c>
      <c r="C432">
        <v>4.8805691743483502E-2</v>
      </c>
    </row>
    <row r="433" spans="1:3" x14ac:dyDescent="0.2">
      <c r="A433" t="s">
        <v>432</v>
      </c>
      <c r="B433">
        <v>1.1511340762097459</v>
      </c>
      <c r="C433">
        <v>0.1511340762097455</v>
      </c>
    </row>
    <row r="434" spans="1:3" x14ac:dyDescent="0.2">
      <c r="A434" t="s">
        <v>1559</v>
      </c>
      <c r="B434">
        <v>1</v>
      </c>
      <c r="C434">
        <v>0</v>
      </c>
    </row>
    <row r="435" spans="1:3" x14ac:dyDescent="0.2">
      <c r="A435" t="s">
        <v>1560</v>
      </c>
      <c r="B435">
        <v>1</v>
      </c>
      <c r="C435">
        <v>0</v>
      </c>
    </row>
    <row r="436" spans="1:3" x14ac:dyDescent="0.2">
      <c r="A436" t="s">
        <v>434</v>
      </c>
      <c r="B436">
        <v>1.077729960882031</v>
      </c>
      <c r="C436">
        <v>7.7729960882031199E-2</v>
      </c>
    </row>
    <row r="437" spans="1:3" x14ac:dyDescent="0.2">
      <c r="A437" t="s">
        <v>1561</v>
      </c>
      <c r="B437">
        <v>1</v>
      </c>
      <c r="C437">
        <v>0</v>
      </c>
    </row>
    <row r="438" spans="1:3" x14ac:dyDescent="0.2">
      <c r="A438" t="s">
        <v>436</v>
      </c>
      <c r="B438">
        <v>1.012631265337711</v>
      </c>
      <c r="C438">
        <v>1.26312653377111E-2</v>
      </c>
    </row>
    <row r="439" spans="1:3" x14ac:dyDescent="0.2">
      <c r="A439" t="s">
        <v>1562</v>
      </c>
      <c r="B439">
        <v>1</v>
      </c>
      <c r="C439">
        <v>0</v>
      </c>
    </row>
    <row r="440" spans="1:3" x14ac:dyDescent="0.2">
      <c r="A440" t="s">
        <v>1563</v>
      </c>
      <c r="B440">
        <v>1</v>
      </c>
      <c r="C440">
        <v>0</v>
      </c>
    </row>
    <row r="441" spans="1:3" x14ac:dyDescent="0.2">
      <c r="A441" t="s">
        <v>1564</v>
      </c>
      <c r="B441">
        <v>1</v>
      </c>
      <c r="C441">
        <v>0</v>
      </c>
    </row>
    <row r="442" spans="1:3" x14ac:dyDescent="0.2">
      <c r="A442" t="s">
        <v>438</v>
      </c>
      <c r="B442">
        <v>1.0662431714363629</v>
      </c>
      <c r="C442">
        <v>6.6243171436362699E-2</v>
      </c>
    </row>
    <row r="443" spans="1:3" x14ac:dyDescent="0.2">
      <c r="A443" t="s">
        <v>1565</v>
      </c>
      <c r="B443">
        <v>1</v>
      </c>
      <c r="C443">
        <v>0</v>
      </c>
    </row>
    <row r="444" spans="1:3" x14ac:dyDescent="0.2">
      <c r="A444" t="s">
        <v>1566</v>
      </c>
      <c r="B444">
        <v>1.01869612022025</v>
      </c>
      <c r="C444">
        <v>1.8696120220249499E-2</v>
      </c>
    </row>
    <row r="445" spans="1:3" x14ac:dyDescent="0.2">
      <c r="A445" t="s">
        <v>1567</v>
      </c>
      <c r="B445">
        <v>1</v>
      </c>
      <c r="C445">
        <v>0</v>
      </c>
    </row>
    <row r="446" spans="1:3" x14ac:dyDescent="0.2">
      <c r="A446" t="s">
        <v>1568</v>
      </c>
      <c r="B446">
        <v>1</v>
      </c>
      <c r="C446">
        <v>0</v>
      </c>
    </row>
    <row r="447" spans="1:3" x14ac:dyDescent="0.2">
      <c r="A447" t="s">
        <v>442</v>
      </c>
      <c r="B447">
        <v>1.066651447051812</v>
      </c>
      <c r="C447">
        <v>6.6651447051811794E-2</v>
      </c>
    </row>
    <row r="448" spans="1:3" x14ac:dyDescent="0.2">
      <c r="A448" t="s">
        <v>1569</v>
      </c>
      <c r="B448">
        <v>1.0372008394613419</v>
      </c>
      <c r="C448">
        <v>3.7200839461341402E-2</v>
      </c>
    </row>
    <row r="449" spans="1:3" x14ac:dyDescent="0.2">
      <c r="A449" t="s">
        <v>446</v>
      </c>
      <c r="B449">
        <v>1.042041103380217</v>
      </c>
      <c r="C449">
        <v>4.2041103380216598E-2</v>
      </c>
    </row>
    <row r="450" spans="1:3" x14ac:dyDescent="0.2">
      <c r="A450" t="s">
        <v>1570</v>
      </c>
      <c r="B450">
        <v>1</v>
      </c>
      <c r="C450">
        <v>0</v>
      </c>
    </row>
    <row r="451" spans="1:3" x14ac:dyDescent="0.2">
      <c r="A451" t="s">
        <v>448</v>
      </c>
      <c r="B451">
        <v>1.1258251928616601</v>
      </c>
      <c r="C451">
        <v>0.1258251928616605</v>
      </c>
    </row>
    <row r="452" spans="1:3" x14ac:dyDescent="0.2">
      <c r="A452" t="s">
        <v>1571</v>
      </c>
      <c r="B452">
        <v>1</v>
      </c>
      <c r="C452">
        <v>0</v>
      </c>
    </row>
    <row r="453" spans="1:3" x14ac:dyDescent="0.2">
      <c r="A453" t="s">
        <v>1572</v>
      </c>
      <c r="B453">
        <v>0.8639710855337861</v>
      </c>
      <c r="C453">
        <v>-0.1360289144662139</v>
      </c>
    </row>
    <row r="454" spans="1:3" x14ac:dyDescent="0.2">
      <c r="A454" t="s">
        <v>450</v>
      </c>
      <c r="B454">
        <v>1.0749751838421491</v>
      </c>
      <c r="C454">
        <v>7.4975183842148796E-2</v>
      </c>
    </row>
    <row r="455" spans="1:3" x14ac:dyDescent="0.2">
      <c r="A455" t="s">
        <v>452</v>
      </c>
      <c r="B455">
        <v>1.004027318510452</v>
      </c>
      <c r="C455">
        <v>4.0273185104524002E-3</v>
      </c>
    </row>
    <row r="456" spans="1:3" x14ac:dyDescent="0.2">
      <c r="A456" t="s">
        <v>1573</v>
      </c>
      <c r="B456">
        <v>1.165350862977385</v>
      </c>
      <c r="C456">
        <v>0.16535086297738469</v>
      </c>
    </row>
    <row r="457" spans="1:3" x14ac:dyDescent="0.2">
      <c r="A457" t="s">
        <v>1574</v>
      </c>
      <c r="B457">
        <v>1</v>
      </c>
      <c r="C457">
        <v>0</v>
      </c>
    </row>
    <row r="458" spans="1:3" x14ac:dyDescent="0.2">
      <c r="A458" t="s">
        <v>1575</v>
      </c>
      <c r="B458">
        <v>1</v>
      </c>
      <c r="C458">
        <v>0</v>
      </c>
    </row>
    <row r="459" spans="1:3" x14ac:dyDescent="0.2">
      <c r="A459" t="s">
        <v>1576</v>
      </c>
      <c r="B459">
        <v>1</v>
      </c>
      <c r="C459">
        <v>0</v>
      </c>
    </row>
    <row r="460" spans="1:3" x14ac:dyDescent="0.2">
      <c r="A460" t="s">
        <v>1577</v>
      </c>
      <c r="B460">
        <v>1</v>
      </c>
      <c r="C460">
        <v>0</v>
      </c>
    </row>
    <row r="461" spans="1:3" x14ac:dyDescent="0.2">
      <c r="A461" t="s">
        <v>456</v>
      </c>
      <c r="B461">
        <v>1.031014526987126</v>
      </c>
      <c r="C461">
        <v>3.1014526987126399E-2</v>
      </c>
    </row>
    <row r="462" spans="1:3" x14ac:dyDescent="0.2">
      <c r="A462" t="s">
        <v>1578</v>
      </c>
      <c r="B462">
        <v>1</v>
      </c>
      <c r="C462">
        <v>0</v>
      </c>
    </row>
    <row r="463" spans="1:3" x14ac:dyDescent="0.2">
      <c r="A463" t="s">
        <v>1579</v>
      </c>
      <c r="B463">
        <v>1</v>
      </c>
      <c r="C463">
        <v>0</v>
      </c>
    </row>
    <row r="464" spans="1:3" x14ac:dyDescent="0.2">
      <c r="A464" t="s">
        <v>1580</v>
      </c>
      <c r="B464">
        <v>1</v>
      </c>
      <c r="C464">
        <v>0</v>
      </c>
    </row>
    <row r="465" spans="1:3" x14ac:dyDescent="0.2">
      <c r="A465" t="s">
        <v>1581</v>
      </c>
      <c r="B465">
        <v>1</v>
      </c>
      <c r="C465">
        <v>0</v>
      </c>
    </row>
    <row r="466" spans="1:3" x14ac:dyDescent="0.2">
      <c r="A466" t="s">
        <v>1582</v>
      </c>
      <c r="B466">
        <v>1</v>
      </c>
      <c r="C466">
        <v>-1.110223024625156E-16</v>
      </c>
    </row>
    <row r="467" spans="1:3" x14ac:dyDescent="0.2">
      <c r="A467" t="s">
        <v>1583</v>
      </c>
      <c r="B467">
        <v>1</v>
      </c>
      <c r="C467">
        <v>0</v>
      </c>
    </row>
    <row r="468" spans="1:3" x14ac:dyDescent="0.2">
      <c r="A468" t="s">
        <v>1584</v>
      </c>
      <c r="B468">
        <v>1</v>
      </c>
      <c r="C468">
        <v>0</v>
      </c>
    </row>
    <row r="469" spans="1:3" x14ac:dyDescent="0.2">
      <c r="A469" t="s">
        <v>1585</v>
      </c>
      <c r="B469">
        <v>1</v>
      </c>
      <c r="C469">
        <v>0</v>
      </c>
    </row>
    <row r="470" spans="1:3" x14ac:dyDescent="0.2">
      <c r="A470" t="s">
        <v>1586</v>
      </c>
      <c r="B470">
        <v>1.0198218059117119</v>
      </c>
      <c r="C470">
        <v>1.9821805911711898E-2</v>
      </c>
    </row>
    <row r="471" spans="1:3" x14ac:dyDescent="0.2">
      <c r="A471" t="s">
        <v>1587</v>
      </c>
      <c r="B471">
        <v>1</v>
      </c>
      <c r="C471">
        <v>0</v>
      </c>
    </row>
    <row r="472" spans="1:3" x14ac:dyDescent="0.2">
      <c r="A472" t="s">
        <v>1588</v>
      </c>
      <c r="B472">
        <v>1</v>
      </c>
      <c r="C472">
        <v>-1.110223024625156E-16</v>
      </c>
    </row>
    <row r="473" spans="1:3" x14ac:dyDescent="0.2">
      <c r="A473" t="s">
        <v>1589</v>
      </c>
      <c r="B473">
        <v>1</v>
      </c>
      <c r="C473">
        <v>0</v>
      </c>
    </row>
    <row r="474" spans="1:3" x14ac:dyDescent="0.2">
      <c r="A474" t="s">
        <v>1590</v>
      </c>
      <c r="B474">
        <v>1</v>
      </c>
      <c r="C474">
        <v>0</v>
      </c>
    </row>
    <row r="475" spans="1:3" x14ac:dyDescent="0.2">
      <c r="A475" t="s">
        <v>1591</v>
      </c>
      <c r="B475">
        <v>0.92411215784924094</v>
      </c>
      <c r="C475">
        <v>-7.5887842150759E-2</v>
      </c>
    </row>
    <row r="476" spans="1:3" x14ac:dyDescent="0.2">
      <c r="A476" t="s">
        <v>1592</v>
      </c>
      <c r="B476">
        <v>1</v>
      </c>
      <c r="C476">
        <v>0</v>
      </c>
    </row>
    <row r="477" spans="1:3" x14ac:dyDescent="0.2">
      <c r="A477" t="s">
        <v>462</v>
      </c>
      <c r="B477">
        <v>1.1168932143313539</v>
      </c>
      <c r="C477">
        <v>0.11689321433135361</v>
      </c>
    </row>
    <row r="478" spans="1:3" x14ac:dyDescent="0.2">
      <c r="A478" t="s">
        <v>1593</v>
      </c>
      <c r="B478">
        <v>1</v>
      </c>
      <c r="C478">
        <v>-1.110223024625156E-16</v>
      </c>
    </row>
    <row r="479" spans="1:3" x14ac:dyDescent="0.2">
      <c r="A479" t="s">
        <v>1594</v>
      </c>
      <c r="B479">
        <v>1</v>
      </c>
      <c r="C479">
        <v>0</v>
      </c>
    </row>
    <row r="480" spans="1:3" x14ac:dyDescent="0.2">
      <c r="A480" t="s">
        <v>1595</v>
      </c>
      <c r="B480">
        <v>1</v>
      </c>
      <c r="C480">
        <v>0</v>
      </c>
    </row>
    <row r="481" spans="1:3" x14ac:dyDescent="0.2">
      <c r="A481" t="s">
        <v>1596</v>
      </c>
      <c r="B481">
        <v>1</v>
      </c>
      <c r="C481">
        <v>0</v>
      </c>
    </row>
    <row r="482" spans="1:3" x14ac:dyDescent="0.2">
      <c r="A482" t="s">
        <v>464</v>
      </c>
      <c r="B482">
        <v>1.0758052945569889</v>
      </c>
      <c r="C482">
        <v>7.5805294556988895E-2</v>
      </c>
    </row>
    <row r="483" spans="1:3" x14ac:dyDescent="0.2">
      <c r="A483" t="s">
        <v>1597</v>
      </c>
      <c r="B483">
        <v>1</v>
      </c>
      <c r="C483">
        <v>0</v>
      </c>
    </row>
    <row r="484" spans="1:3" x14ac:dyDescent="0.2">
      <c r="A484" t="s">
        <v>1598</v>
      </c>
      <c r="B484">
        <v>1</v>
      </c>
      <c r="C484">
        <v>0</v>
      </c>
    </row>
    <row r="485" spans="1:3" x14ac:dyDescent="0.2">
      <c r="A485" t="s">
        <v>466</v>
      </c>
      <c r="B485">
        <v>1.0581350508837251</v>
      </c>
      <c r="C485">
        <v>5.8135050883725198E-2</v>
      </c>
    </row>
    <row r="486" spans="1:3" x14ac:dyDescent="0.2">
      <c r="A486" t="s">
        <v>1599</v>
      </c>
      <c r="B486">
        <v>1.0123465459729371</v>
      </c>
      <c r="C486">
        <v>1.2346545972936799E-2</v>
      </c>
    </row>
    <row r="487" spans="1:3" x14ac:dyDescent="0.2">
      <c r="A487" t="s">
        <v>470</v>
      </c>
      <c r="B487">
        <v>1.05975077128867</v>
      </c>
      <c r="C487">
        <v>5.9750771288669499E-2</v>
      </c>
    </row>
    <row r="488" spans="1:3" x14ac:dyDescent="0.2">
      <c r="A488" t="s">
        <v>472</v>
      </c>
      <c r="B488">
        <v>1.0447153463060079</v>
      </c>
      <c r="C488">
        <v>4.4715346306007701E-2</v>
      </c>
    </row>
    <row r="489" spans="1:3" x14ac:dyDescent="0.2">
      <c r="A489" t="s">
        <v>474</v>
      </c>
      <c r="B489">
        <v>1.0206871715590371</v>
      </c>
      <c r="C489">
        <v>2.06871715590373E-2</v>
      </c>
    </row>
    <row r="490" spans="1:3" x14ac:dyDescent="0.2">
      <c r="A490" t="s">
        <v>1600</v>
      </c>
      <c r="B490">
        <v>1</v>
      </c>
      <c r="C490">
        <v>0</v>
      </c>
    </row>
    <row r="491" spans="1:3" x14ac:dyDescent="0.2">
      <c r="A491" t="s">
        <v>476</v>
      </c>
      <c r="B491">
        <v>1.0374306118892229</v>
      </c>
      <c r="C491">
        <v>3.7430611889222698E-2</v>
      </c>
    </row>
    <row r="492" spans="1:3" x14ac:dyDescent="0.2">
      <c r="A492" t="s">
        <v>1601</v>
      </c>
      <c r="B492">
        <v>1</v>
      </c>
      <c r="C492">
        <v>0</v>
      </c>
    </row>
    <row r="493" spans="1:3" x14ac:dyDescent="0.2">
      <c r="A493" t="s">
        <v>478</v>
      </c>
      <c r="B493">
        <v>1.033254946811925</v>
      </c>
      <c r="C493">
        <v>3.3254946811924903E-2</v>
      </c>
    </row>
    <row r="494" spans="1:3" x14ac:dyDescent="0.2">
      <c r="A494" t="s">
        <v>480</v>
      </c>
      <c r="B494">
        <v>1.039159231624067</v>
      </c>
      <c r="C494">
        <v>3.9159231624067203E-2</v>
      </c>
    </row>
    <row r="495" spans="1:3" x14ac:dyDescent="0.2">
      <c r="A495" t="s">
        <v>1602</v>
      </c>
      <c r="B495">
        <v>1.070367702109025</v>
      </c>
      <c r="C495">
        <v>7.0367702109025196E-2</v>
      </c>
    </row>
    <row r="496" spans="1:3" x14ac:dyDescent="0.2">
      <c r="A496" t="s">
        <v>484</v>
      </c>
      <c r="B496">
        <v>1.041476956104912</v>
      </c>
      <c r="C496">
        <v>4.1476956104911901E-2</v>
      </c>
    </row>
    <row r="497" spans="1:3" x14ac:dyDescent="0.2">
      <c r="A497" t="s">
        <v>1603</v>
      </c>
      <c r="B497">
        <v>1</v>
      </c>
      <c r="C497">
        <v>0</v>
      </c>
    </row>
    <row r="498" spans="1:3" x14ac:dyDescent="0.2">
      <c r="A498" t="s">
        <v>486</v>
      </c>
      <c r="B498">
        <v>1.129071762073</v>
      </c>
      <c r="C498">
        <v>0.12907176207300039</v>
      </c>
    </row>
    <row r="499" spans="1:3" x14ac:dyDescent="0.2">
      <c r="A499" t="s">
        <v>1604</v>
      </c>
      <c r="B499">
        <v>1</v>
      </c>
      <c r="C499">
        <v>-1.110223024625156E-16</v>
      </c>
    </row>
    <row r="500" spans="1:3" x14ac:dyDescent="0.2">
      <c r="A500" t="s">
        <v>1605</v>
      </c>
      <c r="B500">
        <v>1</v>
      </c>
      <c r="C500">
        <v>0</v>
      </c>
    </row>
    <row r="501" spans="1:3" x14ac:dyDescent="0.2">
      <c r="A501" t="s">
        <v>1606</v>
      </c>
      <c r="B501">
        <v>1</v>
      </c>
      <c r="C501">
        <v>-1.110223024625156E-16</v>
      </c>
    </row>
    <row r="502" spans="1:3" x14ac:dyDescent="0.2">
      <c r="A502" t="s">
        <v>1607</v>
      </c>
      <c r="B502">
        <v>1</v>
      </c>
      <c r="C502">
        <v>0</v>
      </c>
    </row>
    <row r="503" spans="1:3" x14ac:dyDescent="0.2">
      <c r="A503" t="s">
        <v>1608</v>
      </c>
      <c r="B503">
        <v>1</v>
      </c>
      <c r="C503">
        <v>0</v>
      </c>
    </row>
    <row r="504" spans="1:3" x14ac:dyDescent="0.2">
      <c r="A504" t="s">
        <v>1609</v>
      </c>
      <c r="B504">
        <v>1</v>
      </c>
      <c r="C504">
        <v>0</v>
      </c>
    </row>
    <row r="505" spans="1:3" x14ac:dyDescent="0.2">
      <c r="A505" t="s">
        <v>488</v>
      </c>
      <c r="B505">
        <v>1.040110651781456</v>
      </c>
      <c r="C505">
        <v>4.0110651781455703E-2</v>
      </c>
    </row>
    <row r="506" spans="1:3" x14ac:dyDescent="0.2">
      <c r="A506" t="s">
        <v>1610</v>
      </c>
      <c r="B506">
        <v>1</v>
      </c>
      <c r="C506">
        <v>0</v>
      </c>
    </row>
    <row r="507" spans="1:3" x14ac:dyDescent="0.2">
      <c r="A507" t="s">
        <v>490</v>
      </c>
      <c r="B507">
        <v>0.95969182279810905</v>
      </c>
      <c r="C507">
        <v>-4.03081772018909E-2</v>
      </c>
    </row>
    <row r="508" spans="1:3" x14ac:dyDescent="0.2">
      <c r="A508" t="s">
        <v>492</v>
      </c>
      <c r="B508">
        <v>1.0755049241227139</v>
      </c>
      <c r="C508">
        <v>7.5504924122714104E-2</v>
      </c>
    </row>
    <row r="509" spans="1:3" x14ac:dyDescent="0.2">
      <c r="A509" t="s">
        <v>494</v>
      </c>
      <c r="B509">
        <v>1.037451413961596</v>
      </c>
      <c r="C509">
        <v>3.7451413961595501E-2</v>
      </c>
    </row>
    <row r="510" spans="1:3" x14ac:dyDescent="0.2">
      <c r="A510" t="s">
        <v>1611</v>
      </c>
      <c r="B510">
        <v>1</v>
      </c>
      <c r="C510">
        <v>0</v>
      </c>
    </row>
    <row r="511" spans="1:3" x14ac:dyDescent="0.2">
      <c r="A511" t="s">
        <v>1612</v>
      </c>
      <c r="B511">
        <v>1</v>
      </c>
      <c r="C511">
        <v>0</v>
      </c>
    </row>
    <row r="512" spans="1:3" x14ac:dyDescent="0.2">
      <c r="A512" t="s">
        <v>496</v>
      </c>
      <c r="B512">
        <v>1.0191415822500209</v>
      </c>
      <c r="C512">
        <v>1.9141582250020901E-2</v>
      </c>
    </row>
    <row r="513" spans="1:3" x14ac:dyDescent="0.2">
      <c r="A513" t="s">
        <v>1613</v>
      </c>
      <c r="B513">
        <v>1</v>
      </c>
      <c r="C513">
        <v>0</v>
      </c>
    </row>
    <row r="514" spans="1:3" x14ac:dyDescent="0.2">
      <c r="A514" t="s">
        <v>1614</v>
      </c>
      <c r="B514">
        <v>1</v>
      </c>
      <c r="C514">
        <v>0</v>
      </c>
    </row>
    <row r="515" spans="1:3" x14ac:dyDescent="0.2">
      <c r="A515" t="s">
        <v>1615</v>
      </c>
      <c r="B515">
        <v>1</v>
      </c>
      <c r="C515">
        <v>0</v>
      </c>
    </row>
    <row r="516" spans="1:3" x14ac:dyDescent="0.2">
      <c r="A516" t="s">
        <v>1616</v>
      </c>
      <c r="B516">
        <v>1</v>
      </c>
      <c r="C516">
        <v>-1.110223024625156E-16</v>
      </c>
    </row>
    <row r="517" spans="1:3" x14ac:dyDescent="0.2">
      <c r="A517" t="s">
        <v>1617</v>
      </c>
      <c r="B517">
        <v>1</v>
      </c>
      <c r="C517">
        <v>0</v>
      </c>
    </row>
    <row r="518" spans="1:3" x14ac:dyDescent="0.2">
      <c r="A518" t="s">
        <v>498</v>
      </c>
      <c r="B518">
        <v>1.091261781045082</v>
      </c>
      <c r="C518">
        <v>9.1261781045082202E-2</v>
      </c>
    </row>
    <row r="519" spans="1:3" x14ac:dyDescent="0.2">
      <c r="A519" t="s">
        <v>1618</v>
      </c>
      <c r="B519">
        <v>1</v>
      </c>
      <c r="C519">
        <v>0</v>
      </c>
    </row>
    <row r="520" spans="1:3" x14ac:dyDescent="0.2">
      <c r="A520" t="s">
        <v>1619</v>
      </c>
      <c r="B520">
        <v>0.97276144192353564</v>
      </c>
      <c r="C520">
        <v>-2.72385580764644E-2</v>
      </c>
    </row>
    <row r="521" spans="1:3" x14ac:dyDescent="0.2">
      <c r="A521" t="s">
        <v>500</v>
      </c>
      <c r="B521">
        <v>1.122664513894903</v>
      </c>
      <c r="C521">
        <v>0.1226645138949034</v>
      </c>
    </row>
    <row r="522" spans="1:3" x14ac:dyDescent="0.2">
      <c r="A522" t="s">
        <v>502</v>
      </c>
      <c r="B522">
        <v>1.08278851837651</v>
      </c>
      <c r="C522">
        <v>8.2788518376509496E-2</v>
      </c>
    </row>
    <row r="523" spans="1:3" x14ac:dyDescent="0.2">
      <c r="A523" t="s">
        <v>1620</v>
      </c>
      <c r="B523">
        <v>1</v>
      </c>
      <c r="C523">
        <v>0</v>
      </c>
    </row>
    <row r="524" spans="1:3" x14ac:dyDescent="0.2">
      <c r="A524" t="s">
        <v>1621</v>
      </c>
      <c r="B524">
        <v>1</v>
      </c>
      <c r="C524">
        <v>0</v>
      </c>
    </row>
    <row r="525" spans="1:3" x14ac:dyDescent="0.2">
      <c r="A525" t="s">
        <v>1622</v>
      </c>
      <c r="B525">
        <v>1</v>
      </c>
      <c r="C525">
        <v>0</v>
      </c>
    </row>
    <row r="526" spans="1:3" x14ac:dyDescent="0.2">
      <c r="A526" t="s">
        <v>1623</v>
      </c>
      <c r="B526">
        <v>1</v>
      </c>
      <c r="C526">
        <v>0</v>
      </c>
    </row>
    <row r="527" spans="1:3" x14ac:dyDescent="0.2">
      <c r="A527" t="s">
        <v>1624</v>
      </c>
      <c r="B527">
        <v>1</v>
      </c>
      <c r="C527">
        <v>0</v>
      </c>
    </row>
    <row r="528" spans="1:3" x14ac:dyDescent="0.2">
      <c r="A528" t="s">
        <v>1625</v>
      </c>
      <c r="B528">
        <v>1.090359925385834</v>
      </c>
      <c r="C528">
        <v>9.0359925385833997E-2</v>
      </c>
    </row>
    <row r="529" spans="1:3" x14ac:dyDescent="0.2">
      <c r="A529" t="s">
        <v>506</v>
      </c>
      <c r="B529">
        <v>0.97833935993355603</v>
      </c>
      <c r="C529">
        <v>-2.1660640066444001E-2</v>
      </c>
    </row>
    <row r="530" spans="1:3" x14ac:dyDescent="0.2">
      <c r="A530" t="s">
        <v>508</v>
      </c>
      <c r="B530">
        <v>1.031670279610382</v>
      </c>
      <c r="C530">
        <v>3.16702796103824E-2</v>
      </c>
    </row>
    <row r="531" spans="1:3" x14ac:dyDescent="0.2">
      <c r="A531" t="s">
        <v>1626</v>
      </c>
      <c r="B531">
        <v>1</v>
      </c>
      <c r="C531">
        <v>0</v>
      </c>
    </row>
    <row r="532" spans="1:3" x14ac:dyDescent="0.2">
      <c r="A532" t="s">
        <v>1627</v>
      </c>
      <c r="B532">
        <v>1.0440530186858681</v>
      </c>
      <c r="C532">
        <v>4.4053018685867799E-2</v>
      </c>
    </row>
    <row r="533" spans="1:3" x14ac:dyDescent="0.2">
      <c r="A533" t="s">
        <v>1628</v>
      </c>
      <c r="B533">
        <v>1</v>
      </c>
      <c r="C533">
        <v>0</v>
      </c>
    </row>
    <row r="534" spans="1:3" x14ac:dyDescent="0.2">
      <c r="A534" t="s">
        <v>1629</v>
      </c>
      <c r="B534">
        <v>1</v>
      </c>
      <c r="C534">
        <v>0</v>
      </c>
    </row>
    <row r="535" spans="1:3" x14ac:dyDescent="0.2">
      <c r="A535" t="s">
        <v>512</v>
      </c>
      <c r="B535">
        <v>0.98711118383988805</v>
      </c>
      <c r="C535">
        <v>-1.2888816160111999E-2</v>
      </c>
    </row>
    <row r="536" spans="1:3" x14ac:dyDescent="0.2">
      <c r="A536" t="s">
        <v>1630</v>
      </c>
      <c r="B536">
        <v>1</v>
      </c>
      <c r="C536">
        <v>0</v>
      </c>
    </row>
    <row r="537" spans="1:3" x14ac:dyDescent="0.2">
      <c r="A537" t="s">
        <v>1631</v>
      </c>
      <c r="B537">
        <v>1.036564838406866</v>
      </c>
      <c r="C537">
        <v>3.6564838406865897E-2</v>
      </c>
    </row>
    <row r="538" spans="1:3" x14ac:dyDescent="0.2">
      <c r="A538" t="s">
        <v>1632</v>
      </c>
      <c r="B538">
        <v>1.0308312609142241</v>
      </c>
      <c r="C538">
        <v>3.0831260914224001E-2</v>
      </c>
    </row>
    <row r="539" spans="1:3" x14ac:dyDescent="0.2">
      <c r="A539" t="s">
        <v>1633</v>
      </c>
      <c r="B539">
        <v>1</v>
      </c>
      <c r="C539">
        <v>-1.110223024625156E-16</v>
      </c>
    </row>
    <row r="540" spans="1:3" x14ac:dyDescent="0.2">
      <c r="A540" t="s">
        <v>1634</v>
      </c>
      <c r="B540">
        <v>1</v>
      </c>
      <c r="C540">
        <v>0</v>
      </c>
    </row>
    <row r="541" spans="1:3" x14ac:dyDescent="0.2">
      <c r="A541" t="s">
        <v>1635</v>
      </c>
      <c r="B541">
        <v>1.1715804524707001</v>
      </c>
      <c r="C541">
        <v>0.1715804524707005</v>
      </c>
    </row>
    <row r="542" spans="1:3" x14ac:dyDescent="0.2">
      <c r="A542" t="s">
        <v>520</v>
      </c>
      <c r="B542">
        <v>1.003814831878084</v>
      </c>
      <c r="C542">
        <v>3.8148318780844002E-3</v>
      </c>
    </row>
    <row r="543" spans="1:3" x14ac:dyDescent="0.2">
      <c r="A543" t="s">
        <v>1636</v>
      </c>
      <c r="B543">
        <v>1.0028598334355281</v>
      </c>
      <c r="C543">
        <v>2.8598334355283E-3</v>
      </c>
    </row>
    <row r="544" spans="1:3" x14ac:dyDescent="0.2">
      <c r="A544" t="s">
        <v>524</v>
      </c>
      <c r="B544">
        <v>1.1980931969019031</v>
      </c>
      <c r="C544">
        <v>0.1980931969019028</v>
      </c>
    </row>
    <row r="545" spans="1:3" x14ac:dyDescent="0.2">
      <c r="A545" t="s">
        <v>526</v>
      </c>
      <c r="B545">
        <v>1.04545542837436</v>
      </c>
      <c r="C545">
        <v>4.5455428374360202E-2</v>
      </c>
    </row>
    <row r="546" spans="1:3" x14ac:dyDescent="0.2">
      <c r="A546" t="s">
        <v>1637</v>
      </c>
      <c r="B546">
        <v>1</v>
      </c>
      <c r="C546">
        <v>0</v>
      </c>
    </row>
    <row r="547" spans="1:3" x14ac:dyDescent="0.2">
      <c r="A547" t="s">
        <v>1638</v>
      </c>
      <c r="B547">
        <v>1.101810233880145</v>
      </c>
      <c r="C547">
        <v>0.1018102338801449</v>
      </c>
    </row>
    <row r="548" spans="1:3" x14ac:dyDescent="0.2">
      <c r="A548" t="s">
        <v>530</v>
      </c>
      <c r="B548">
        <v>1.0057865986946839</v>
      </c>
      <c r="C548">
        <v>5.7865986946840997E-3</v>
      </c>
    </row>
    <row r="549" spans="1:3" x14ac:dyDescent="0.2">
      <c r="A549" t="s">
        <v>1639</v>
      </c>
      <c r="B549">
        <v>1</v>
      </c>
      <c r="C549">
        <v>0</v>
      </c>
    </row>
    <row r="550" spans="1:3" x14ac:dyDescent="0.2">
      <c r="A550" t="s">
        <v>1640</v>
      </c>
      <c r="B550">
        <v>1</v>
      </c>
      <c r="C550">
        <v>0</v>
      </c>
    </row>
    <row r="551" spans="1:3" x14ac:dyDescent="0.2">
      <c r="A551" t="s">
        <v>1641</v>
      </c>
      <c r="B551">
        <v>1</v>
      </c>
      <c r="C551">
        <v>-1.110223024625156E-16</v>
      </c>
    </row>
    <row r="552" spans="1:3" x14ac:dyDescent="0.2">
      <c r="A552" t="s">
        <v>1642</v>
      </c>
      <c r="B552">
        <v>1.083223171686658</v>
      </c>
      <c r="C552">
        <v>8.3223171686658395E-2</v>
      </c>
    </row>
    <row r="553" spans="1:3" x14ac:dyDescent="0.2">
      <c r="A553" t="s">
        <v>534</v>
      </c>
      <c r="B553">
        <v>1.014372118580958</v>
      </c>
      <c r="C553">
        <v>1.4372118580958399E-2</v>
      </c>
    </row>
    <row r="554" spans="1:3" x14ac:dyDescent="0.2">
      <c r="A554" t="s">
        <v>1643</v>
      </c>
      <c r="B554">
        <v>1</v>
      </c>
      <c r="C554">
        <v>0</v>
      </c>
    </row>
    <row r="555" spans="1:3" x14ac:dyDescent="0.2">
      <c r="A555" t="s">
        <v>1644</v>
      </c>
      <c r="B555">
        <v>1</v>
      </c>
      <c r="C555">
        <v>0</v>
      </c>
    </row>
    <row r="556" spans="1:3" x14ac:dyDescent="0.2">
      <c r="A556" t="s">
        <v>1645</v>
      </c>
      <c r="B556">
        <v>1</v>
      </c>
      <c r="C556">
        <v>0</v>
      </c>
    </row>
    <row r="557" spans="1:3" x14ac:dyDescent="0.2">
      <c r="A557" t="s">
        <v>536</v>
      </c>
      <c r="B557">
        <v>1.125659650571212</v>
      </c>
      <c r="C557">
        <v>0.1256596505712122</v>
      </c>
    </row>
    <row r="558" spans="1:3" x14ac:dyDescent="0.2">
      <c r="A558" t="s">
        <v>1646</v>
      </c>
      <c r="B558">
        <v>1</v>
      </c>
      <c r="C558">
        <v>0</v>
      </c>
    </row>
    <row r="559" spans="1:3" x14ac:dyDescent="0.2">
      <c r="A559" t="s">
        <v>1647</v>
      </c>
      <c r="B559">
        <v>1</v>
      </c>
      <c r="C559">
        <v>0</v>
      </c>
    </row>
    <row r="560" spans="1:3" x14ac:dyDescent="0.2">
      <c r="A560" t="s">
        <v>538</v>
      </c>
      <c r="B560">
        <v>1.0753737711085669</v>
      </c>
      <c r="C560">
        <v>7.5373771108566898E-2</v>
      </c>
    </row>
    <row r="561" spans="1:3" x14ac:dyDescent="0.2">
      <c r="A561" t="s">
        <v>540</v>
      </c>
      <c r="B561">
        <v>0.94563938117249735</v>
      </c>
      <c r="C561">
        <v>-5.4360618827502601E-2</v>
      </c>
    </row>
    <row r="562" spans="1:3" x14ac:dyDescent="0.2">
      <c r="A562" t="s">
        <v>1648</v>
      </c>
      <c r="B562">
        <v>1.0476999431805949</v>
      </c>
      <c r="C562">
        <v>4.7699943180595103E-2</v>
      </c>
    </row>
    <row r="563" spans="1:3" x14ac:dyDescent="0.2">
      <c r="A563" t="s">
        <v>1649</v>
      </c>
      <c r="B563">
        <v>1.043406490839073</v>
      </c>
      <c r="C563">
        <v>4.3406490839072998E-2</v>
      </c>
    </row>
    <row r="564" spans="1:3" x14ac:dyDescent="0.2">
      <c r="A564" t="s">
        <v>544</v>
      </c>
      <c r="B564">
        <v>1.095810576440954</v>
      </c>
      <c r="C564">
        <v>9.5810576440953796E-2</v>
      </c>
    </row>
    <row r="565" spans="1:3" x14ac:dyDescent="0.2">
      <c r="A565" t="s">
        <v>1650</v>
      </c>
      <c r="B565">
        <v>1.133717952132034</v>
      </c>
      <c r="C565">
        <v>0.13371795213203391</v>
      </c>
    </row>
    <row r="566" spans="1:3" x14ac:dyDescent="0.2">
      <c r="A566" t="s">
        <v>548</v>
      </c>
      <c r="B566">
        <v>1.0211143193402641</v>
      </c>
      <c r="C566">
        <v>2.1114319340264E-2</v>
      </c>
    </row>
    <row r="567" spans="1:3" x14ac:dyDescent="0.2">
      <c r="A567" t="s">
        <v>1651</v>
      </c>
      <c r="B567">
        <v>1.0387298282144719</v>
      </c>
      <c r="C567">
        <v>3.8729828214471601E-2</v>
      </c>
    </row>
    <row r="568" spans="1:3" x14ac:dyDescent="0.2">
      <c r="A568" t="s">
        <v>1652</v>
      </c>
      <c r="B568">
        <v>1</v>
      </c>
      <c r="C568">
        <v>0</v>
      </c>
    </row>
    <row r="569" spans="1:3" x14ac:dyDescent="0.2">
      <c r="A569" t="s">
        <v>554</v>
      </c>
      <c r="B569">
        <v>1.0380090104364581</v>
      </c>
      <c r="C569">
        <v>3.8009010436457803E-2</v>
      </c>
    </row>
    <row r="570" spans="1:3" x14ac:dyDescent="0.2">
      <c r="A570" t="s">
        <v>556</v>
      </c>
      <c r="B570">
        <v>0.97661121442163157</v>
      </c>
      <c r="C570">
        <v>-2.3388785578368501E-2</v>
      </c>
    </row>
    <row r="571" spans="1:3" x14ac:dyDescent="0.2">
      <c r="A571" t="s">
        <v>558</v>
      </c>
      <c r="B571">
        <v>1.021999623706098</v>
      </c>
      <c r="C571">
        <v>2.1999623706098401E-2</v>
      </c>
    </row>
    <row r="572" spans="1:3" x14ac:dyDescent="0.2">
      <c r="A572" t="s">
        <v>560</v>
      </c>
      <c r="B572">
        <v>1.060717122268914</v>
      </c>
      <c r="C572">
        <v>6.0717122268913501E-2</v>
      </c>
    </row>
    <row r="573" spans="1:3" x14ac:dyDescent="0.2">
      <c r="A573" t="s">
        <v>562</v>
      </c>
      <c r="B573">
        <v>1.021836848857411</v>
      </c>
      <c r="C573">
        <v>2.18368488574112E-2</v>
      </c>
    </row>
    <row r="574" spans="1:3" x14ac:dyDescent="0.2">
      <c r="A574" t="s">
        <v>1653</v>
      </c>
      <c r="B574">
        <v>1</v>
      </c>
      <c r="C574">
        <v>0</v>
      </c>
    </row>
    <row r="575" spans="1:3" x14ac:dyDescent="0.2">
      <c r="A575" t="s">
        <v>1654</v>
      </c>
      <c r="B575">
        <v>1</v>
      </c>
      <c r="C575">
        <v>0</v>
      </c>
    </row>
    <row r="576" spans="1:3" x14ac:dyDescent="0.2">
      <c r="A576" t="s">
        <v>1655</v>
      </c>
      <c r="B576">
        <v>1</v>
      </c>
      <c r="C576">
        <v>0</v>
      </c>
    </row>
    <row r="577" spans="1:3" x14ac:dyDescent="0.2">
      <c r="A577" t="s">
        <v>1656</v>
      </c>
      <c r="B577">
        <v>1</v>
      </c>
      <c r="C577">
        <v>0</v>
      </c>
    </row>
    <row r="578" spans="1:3" x14ac:dyDescent="0.2">
      <c r="A578" t="s">
        <v>1657</v>
      </c>
      <c r="B578">
        <v>1</v>
      </c>
      <c r="C578">
        <v>0</v>
      </c>
    </row>
    <row r="579" spans="1:3" x14ac:dyDescent="0.2">
      <c r="A579" t="s">
        <v>1658</v>
      </c>
      <c r="B579">
        <v>1</v>
      </c>
      <c r="C579">
        <v>0</v>
      </c>
    </row>
    <row r="580" spans="1:3" x14ac:dyDescent="0.2">
      <c r="A580" t="s">
        <v>1659</v>
      </c>
      <c r="B580">
        <v>1</v>
      </c>
      <c r="C580">
        <v>0</v>
      </c>
    </row>
    <row r="581" spans="1:3" x14ac:dyDescent="0.2">
      <c r="A581" t="s">
        <v>1660</v>
      </c>
      <c r="B581">
        <v>1</v>
      </c>
      <c r="C581">
        <v>0</v>
      </c>
    </row>
    <row r="582" spans="1:3" x14ac:dyDescent="0.2">
      <c r="A582" t="s">
        <v>1661</v>
      </c>
      <c r="B582">
        <v>1.02827594697747</v>
      </c>
      <c r="C582">
        <v>2.8275946977469602E-2</v>
      </c>
    </row>
    <row r="583" spans="1:3" x14ac:dyDescent="0.2">
      <c r="A583" t="s">
        <v>1662</v>
      </c>
      <c r="B583">
        <v>1</v>
      </c>
      <c r="C583">
        <v>0</v>
      </c>
    </row>
    <row r="584" spans="1:3" x14ac:dyDescent="0.2">
      <c r="A584" t="s">
        <v>1663</v>
      </c>
      <c r="B584">
        <v>1</v>
      </c>
      <c r="C584">
        <v>0</v>
      </c>
    </row>
    <row r="585" spans="1:3" x14ac:dyDescent="0.2">
      <c r="A585" t="s">
        <v>1664</v>
      </c>
      <c r="B585">
        <v>1</v>
      </c>
      <c r="C585">
        <v>0</v>
      </c>
    </row>
    <row r="586" spans="1:3" x14ac:dyDescent="0.2">
      <c r="A586" t="s">
        <v>1665</v>
      </c>
      <c r="B586">
        <v>1.024331725391145</v>
      </c>
      <c r="C586">
        <v>2.4331725391145E-2</v>
      </c>
    </row>
    <row r="587" spans="1:3" x14ac:dyDescent="0.2">
      <c r="A587" t="s">
        <v>1666</v>
      </c>
      <c r="B587">
        <v>1</v>
      </c>
      <c r="C587">
        <v>0</v>
      </c>
    </row>
    <row r="588" spans="1:3" x14ac:dyDescent="0.2">
      <c r="A588" t="s">
        <v>1667</v>
      </c>
      <c r="B588">
        <v>1</v>
      </c>
      <c r="C588">
        <v>0</v>
      </c>
    </row>
    <row r="589" spans="1:3" x14ac:dyDescent="0.2">
      <c r="A589" t="s">
        <v>1668</v>
      </c>
      <c r="B589">
        <v>1</v>
      </c>
      <c r="C589">
        <v>0</v>
      </c>
    </row>
    <row r="590" spans="1:3" x14ac:dyDescent="0.2">
      <c r="A590" t="s">
        <v>1669</v>
      </c>
      <c r="B590">
        <v>1</v>
      </c>
      <c r="C590">
        <v>0</v>
      </c>
    </row>
    <row r="591" spans="1:3" x14ac:dyDescent="0.2">
      <c r="A591" t="s">
        <v>1670</v>
      </c>
      <c r="B591">
        <v>1.009156082223635</v>
      </c>
      <c r="C591">
        <v>9.1560822236353007E-3</v>
      </c>
    </row>
    <row r="592" spans="1:3" x14ac:dyDescent="0.2">
      <c r="A592" t="s">
        <v>1671</v>
      </c>
      <c r="B592">
        <v>1</v>
      </c>
      <c r="C592">
        <v>0</v>
      </c>
    </row>
    <row r="593" spans="1:3" x14ac:dyDescent="0.2">
      <c r="A593" t="s">
        <v>570</v>
      </c>
      <c r="B593">
        <v>0.99175471678531957</v>
      </c>
      <c r="C593">
        <v>-8.2452832146803993E-3</v>
      </c>
    </row>
    <row r="594" spans="1:3" x14ac:dyDescent="0.2">
      <c r="A594" t="s">
        <v>1672</v>
      </c>
      <c r="B594">
        <v>1</v>
      </c>
      <c r="C594">
        <v>0</v>
      </c>
    </row>
    <row r="595" spans="1:3" x14ac:dyDescent="0.2">
      <c r="A595" t="s">
        <v>1673</v>
      </c>
      <c r="B595">
        <v>1.022720478325859</v>
      </c>
      <c r="C595">
        <v>2.2720478325859401E-2</v>
      </c>
    </row>
    <row r="596" spans="1:3" x14ac:dyDescent="0.2">
      <c r="A596" t="s">
        <v>574</v>
      </c>
      <c r="B596">
        <v>1.119610814695851</v>
      </c>
      <c r="C596">
        <v>0.1196108146958505</v>
      </c>
    </row>
    <row r="597" spans="1:3" x14ac:dyDescent="0.2">
      <c r="A597" t="s">
        <v>576</v>
      </c>
      <c r="B597">
        <v>1.011337261681126</v>
      </c>
      <c r="C597">
        <v>1.1337261681126001E-2</v>
      </c>
    </row>
    <row r="598" spans="1:3" x14ac:dyDescent="0.2">
      <c r="A598" t="s">
        <v>578</v>
      </c>
      <c r="B598">
        <v>1.034890713690146</v>
      </c>
      <c r="C598">
        <v>3.4890713690145903E-2</v>
      </c>
    </row>
    <row r="599" spans="1:3" x14ac:dyDescent="0.2">
      <c r="A599" t="s">
        <v>580</v>
      </c>
      <c r="B599">
        <v>1.0138885066850849</v>
      </c>
      <c r="C599">
        <v>1.38885066850851E-2</v>
      </c>
    </row>
    <row r="600" spans="1:3" x14ac:dyDescent="0.2">
      <c r="A600" t="s">
        <v>582</v>
      </c>
      <c r="B600">
        <v>1.0132284151974</v>
      </c>
      <c r="C600">
        <v>1.32284151973998E-2</v>
      </c>
    </row>
    <row r="601" spans="1:3" x14ac:dyDescent="0.2">
      <c r="A601" t="s">
        <v>1674</v>
      </c>
      <c r="B601">
        <v>1.052621796725751</v>
      </c>
      <c r="C601">
        <v>5.2621796725750902E-2</v>
      </c>
    </row>
    <row r="602" spans="1:3" x14ac:dyDescent="0.2">
      <c r="A602" t="s">
        <v>586</v>
      </c>
      <c r="B602">
        <v>1.03030190772327</v>
      </c>
      <c r="C602">
        <v>3.0301907723269999E-2</v>
      </c>
    </row>
    <row r="603" spans="1:3" x14ac:dyDescent="0.2">
      <c r="A603" t="s">
        <v>1675</v>
      </c>
      <c r="B603">
        <v>1</v>
      </c>
      <c r="C603">
        <v>0</v>
      </c>
    </row>
    <row r="604" spans="1:3" x14ac:dyDescent="0.2">
      <c r="A604" t="s">
        <v>1676</v>
      </c>
      <c r="B604">
        <v>1.018733873198655</v>
      </c>
      <c r="C604">
        <v>1.8733873198655202E-2</v>
      </c>
    </row>
    <row r="605" spans="1:3" x14ac:dyDescent="0.2">
      <c r="A605" t="s">
        <v>592</v>
      </c>
      <c r="B605">
        <v>1.0580226219995119</v>
      </c>
      <c r="C605">
        <v>5.8022621999512101E-2</v>
      </c>
    </row>
    <row r="606" spans="1:3" x14ac:dyDescent="0.2">
      <c r="A606" t="s">
        <v>594</v>
      </c>
      <c r="B606">
        <v>1.0233225969572259</v>
      </c>
      <c r="C606">
        <v>2.3322596957226101E-2</v>
      </c>
    </row>
    <row r="607" spans="1:3" x14ac:dyDescent="0.2">
      <c r="A607" t="s">
        <v>1677</v>
      </c>
      <c r="B607">
        <v>1</v>
      </c>
      <c r="C607">
        <v>0</v>
      </c>
    </row>
    <row r="608" spans="1:3" x14ac:dyDescent="0.2">
      <c r="A608" t="s">
        <v>596</v>
      </c>
      <c r="B608">
        <v>1.1187807106294669</v>
      </c>
      <c r="C608">
        <v>0.1187807106294671</v>
      </c>
    </row>
    <row r="609" spans="1:3" x14ac:dyDescent="0.2">
      <c r="A609" t="s">
        <v>1678</v>
      </c>
      <c r="B609">
        <v>1.0569891781282881</v>
      </c>
      <c r="C609">
        <v>5.6989178128287798E-2</v>
      </c>
    </row>
    <row r="610" spans="1:3" x14ac:dyDescent="0.2">
      <c r="A610" t="s">
        <v>1679</v>
      </c>
      <c r="B610">
        <v>1</v>
      </c>
      <c r="C610">
        <v>0</v>
      </c>
    </row>
    <row r="611" spans="1:3" x14ac:dyDescent="0.2">
      <c r="A611" t="s">
        <v>600</v>
      </c>
      <c r="B611">
        <v>1.0190337290265481</v>
      </c>
      <c r="C611">
        <v>1.9033729026547801E-2</v>
      </c>
    </row>
    <row r="612" spans="1:3" x14ac:dyDescent="0.2">
      <c r="A612" t="s">
        <v>1680</v>
      </c>
      <c r="B612">
        <v>1</v>
      </c>
      <c r="C612">
        <v>0</v>
      </c>
    </row>
    <row r="613" spans="1:3" x14ac:dyDescent="0.2">
      <c r="A613" t="s">
        <v>602</v>
      </c>
      <c r="B613">
        <v>1.1214580169234101</v>
      </c>
      <c r="C613">
        <v>0.1214580169234105</v>
      </c>
    </row>
    <row r="614" spans="1:3" x14ac:dyDescent="0.2">
      <c r="A614" t="s">
        <v>1681</v>
      </c>
      <c r="B614">
        <v>1.055330741182118</v>
      </c>
      <c r="C614">
        <v>5.5330741182118399E-2</v>
      </c>
    </row>
    <row r="615" spans="1:3" x14ac:dyDescent="0.2">
      <c r="A615" t="s">
        <v>606</v>
      </c>
      <c r="B615">
        <v>1.0641590238534431</v>
      </c>
      <c r="C615">
        <v>6.4159023853442604E-2</v>
      </c>
    </row>
    <row r="616" spans="1:3" x14ac:dyDescent="0.2">
      <c r="A616" t="s">
        <v>608</v>
      </c>
      <c r="B616">
        <v>1.0231836765624609</v>
      </c>
      <c r="C616">
        <v>2.3183676562461099E-2</v>
      </c>
    </row>
    <row r="617" spans="1:3" x14ac:dyDescent="0.2">
      <c r="A617" t="s">
        <v>1682</v>
      </c>
      <c r="B617">
        <v>1</v>
      </c>
      <c r="C617">
        <v>-1.110223024625156E-16</v>
      </c>
    </row>
    <row r="618" spans="1:3" x14ac:dyDescent="0.2">
      <c r="A618" t="s">
        <v>1683</v>
      </c>
      <c r="B618">
        <v>1</v>
      </c>
      <c r="C618">
        <v>0</v>
      </c>
    </row>
    <row r="619" spans="1:3" x14ac:dyDescent="0.2">
      <c r="A619" t="s">
        <v>1684</v>
      </c>
      <c r="B619">
        <v>1</v>
      </c>
      <c r="C619">
        <v>-1.110223024625156E-16</v>
      </c>
    </row>
    <row r="620" spans="1:3" x14ac:dyDescent="0.2">
      <c r="A620" t="s">
        <v>1685</v>
      </c>
      <c r="B620">
        <v>1</v>
      </c>
      <c r="C620">
        <v>0</v>
      </c>
    </row>
    <row r="621" spans="1:3" x14ac:dyDescent="0.2">
      <c r="A621" t="s">
        <v>610</v>
      </c>
      <c r="B621">
        <v>1.0062149437052199</v>
      </c>
      <c r="C621">
        <v>6.2149437052200999E-3</v>
      </c>
    </row>
    <row r="622" spans="1:3" x14ac:dyDescent="0.2">
      <c r="A622" t="s">
        <v>1686</v>
      </c>
      <c r="B622">
        <v>1</v>
      </c>
      <c r="C622">
        <v>0</v>
      </c>
    </row>
    <row r="623" spans="1:3" x14ac:dyDescent="0.2">
      <c r="A623" t="s">
        <v>612</v>
      </c>
      <c r="B623">
        <v>1.0487585868989171</v>
      </c>
      <c r="C623">
        <v>4.87585868989171E-2</v>
      </c>
    </row>
    <row r="624" spans="1:3" x14ac:dyDescent="0.2">
      <c r="A624" t="s">
        <v>1687</v>
      </c>
      <c r="B624">
        <v>1</v>
      </c>
      <c r="C624">
        <v>0</v>
      </c>
    </row>
    <row r="625" spans="1:3" x14ac:dyDescent="0.2">
      <c r="A625" t="s">
        <v>1688</v>
      </c>
      <c r="B625">
        <v>1</v>
      </c>
      <c r="C625">
        <v>0</v>
      </c>
    </row>
    <row r="626" spans="1:3" x14ac:dyDescent="0.2">
      <c r="A626" t="s">
        <v>1689</v>
      </c>
      <c r="B626">
        <v>1</v>
      </c>
      <c r="C626">
        <v>0</v>
      </c>
    </row>
    <row r="627" spans="1:3" x14ac:dyDescent="0.2">
      <c r="A627" t="s">
        <v>1690</v>
      </c>
      <c r="B627">
        <v>1</v>
      </c>
      <c r="C627">
        <v>0</v>
      </c>
    </row>
    <row r="628" spans="1:3" x14ac:dyDescent="0.2">
      <c r="A628" t="s">
        <v>614</v>
      </c>
      <c r="B628">
        <v>1.0508267076325499</v>
      </c>
      <c r="C628">
        <v>5.0826707632550303E-2</v>
      </c>
    </row>
    <row r="629" spans="1:3" x14ac:dyDescent="0.2">
      <c r="A629" t="s">
        <v>1691</v>
      </c>
      <c r="B629">
        <v>1</v>
      </c>
      <c r="C629">
        <v>0</v>
      </c>
    </row>
    <row r="630" spans="1:3" x14ac:dyDescent="0.2">
      <c r="A630" t="s">
        <v>616</v>
      </c>
      <c r="B630">
        <v>1.031824338945277</v>
      </c>
      <c r="C630">
        <v>3.1824338945277003E-2</v>
      </c>
    </row>
    <row r="631" spans="1:3" x14ac:dyDescent="0.2">
      <c r="A631" t="s">
        <v>618</v>
      </c>
      <c r="B631">
        <v>1.0238503428801931</v>
      </c>
      <c r="C631">
        <v>2.3850342880193401E-2</v>
      </c>
    </row>
    <row r="632" spans="1:3" x14ac:dyDescent="0.2">
      <c r="A632" t="s">
        <v>1692</v>
      </c>
      <c r="B632">
        <v>1</v>
      </c>
      <c r="C632">
        <v>0</v>
      </c>
    </row>
    <row r="633" spans="1:3" x14ac:dyDescent="0.2">
      <c r="A633" t="s">
        <v>620</v>
      </c>
      <c r="B633">
        <v>1.01052892036149</v>
      </c>
      <c r="C633">
        <v>1.05289203614897E-2</v>
      </c>
    </row>
    <row r="634" spans="1:3" x14ac:dyDescent="0.2">
      <c r="A634" t="s">
        <v>1693</v>
      </c>
      <c r="B634">
        <v>1.081224700530055</v>
      </c>
      <c r="C634">
        <v>8.1224700530054997E-2</v>
      </c>
    </row>
    <row r="635" spans="1:3" x14ac:dyDescent="0.2">
      <c r="A635" t="s">
        <v>622</v>
      </c>
      <c r="B635">
        <v>1.153215706331155</v>
      </c>
      <c r="C635">
        <v>0.15321570633115469</v>
      </c>
    </row>
    <row r="636" spans="1:3" x14ac:dyDescent="0.2">
      <c r="A636" t="s">
        <v>624</v>
      </c>
      <c r="B636">
        <v>1.0244097533406831</v>
      </c>
      <c r="C636">
        <v>2.4409753340682998E-2</v>
      </c>
    </row>
    <row r="637" spans="1:3" x14ac:dyDescent="0.2">
      <c r="A637" t="s">
        <v>1694</v>
      </c>
      <c r="B637">
        <v>1</v>
      </c>
      <c r="C637">
        <v>0</v>
      </c>
    </row>
    <row r="638" spans="1:3" x14ac:dyDescent="0.2">
      <c r="A638" t="s">
        <v>626</v>
      </c>
      <c r="B638">
        <v>1.0875610128654569</v>
      </c>
      <c r="C638">
        <v>8.75610128654567E-2</v>
      </c>
    </row>
    <row r="639" spans="1:3" x14ac:dyDescent="0.2">
      <c r="A639" t="s">
        <v>628</v>
      </c>
      <c r="B639">
        <v>1.0157433702651899</v>
      </c>
      <c r="C639">
        <v>1.5743370265189401E-2</v>
      </c>
    </row>
    <row r="640" spans="1:3" x14ac:dyDescent="0.2">
      <c r="A640" t="s">
        <v>630</v>
      </c>
      <c r="B640">
        <v>1.1068038495246939</v>
      </c>
      <c r="C640">
        <v>0.10680384952469391</v>
      </c>
    </row>
    <row r="641" spans="1:3" x14ac:dyDescent="0.2">
      <c r="A641" t="s">
        <v>1695</v>
      </c>
      <c r="B641">
        <v>1</v>
      </c>
      <c r="C641">
        <v>0</v>
      </c>
    </row>
    <row r="642" spans="1:3" x14ac:dyDescent="0.2">
      <c r="A642" t="s">
        <v>632</v>
      </c>
      <c r="B642">
        <v>1.046619845047964</v>
      </c>
      <c r="C642">
        <v>4.6619845047964202E-2</v>
      </c>
    </row>
    <row r="643" spans="1:3" x14ac:dyDescent="0.2">
      <c r="A643" t="s">
        <v>634</v>
      </c>
      <c r="B643">
        <v>0.93195006387924662</v>
      </c>
      <c r="C643">
        <v>-6.8049936120753302E-2</v>
      </c>
    </row>
    <row r="644" spans="1:3" x14ac:dyDescent="0.2">
      <c r="A644" t="s">
        <v>636</v>
      </c>
      <c r="B644">
        <v>0.9912585352459492</v>
      </c>
      <c r="C644">
        <v>-8.7414647540506006E-3</v>
      </c>
    </row>
    <row r="645" spans="1:3" x14ac:dyDescent="0.2">
      <c r="A645" t="s">
        <v>637</v>
      </c>
      <c r="B645">
        <v>1.0579825527229609</v>
      </c>
      <c r="C645">
        <v>5.7982552722960698E-2</v>
      </c>
    </row>
    <row r="646" spans="1:3" x14ac:dyDescent="0.2">
      <c r="A646" t="s">
        <v>1696</v>
      </c>
      <c r="B646">
        <v>1.0221538808897641</v>
      </c>
      <c r="C646">
        <v>2.2153880889763802E-2</v>
      </c>
    </row>
    <row r="647" spans="1:3" x14ac:dyDescent="0.2">
      <c r="A647" t="s">
        <v>638</v>
      </c>
      <c r="B647">
        <v>0.94962934160587642</v>
      </c>
      <c r="C647">
        <v>-5.0370658394123399E-2</v>
      </c>
    </row>
    <row r="648" spans="1:3" x14ac:dyDescent="0.2">
      <c r="A648" t="s">
        <v>640</v>
      </c>
      <c r="B648">
        <v>1.0811894145309351</v>
      </c>
      <c r="C648">
        <v>8.1189414530935297E-2</v>
      </c>
    </row>
    <row r="649" spans="1:3" x14ac:dyDescent="0.2">
      <c r="A649" t="s">
        <v>642</v>
      </c>
      <c r="B649">
        <v>1.061618067901158</v>
      </c>
      <c r="C649">
        <v>6.1618067901158202E-2</v>
      </c>
    </row>
    <row r="650" spans="1:3" x14ac:dyDescent="0.2">
      <c r="A650" t="s">
        <v>644</v>
      </c>
      <c r="B650">
        <v>1.0351340739040149</v>
      </c>
      <c r="C650">
        <v>3.5134073904014601E-2</v>
      </c>
    </row>
    <row r="651" spans="1:3" x14ac:dyDescent="0.2">
      <c r="A651" t="s">
        <v>646</v>
      </c>
      <c r="B651">
        <v>1.0388169492886421</v>
      </c>
      <c r="C651">
        <v>3.88169492886416E-2</v>
      </c>
    </row>
    <row r="652" spans="1:3" x14ac:dyDescent="0.2">
      <c r="A652" t="s">
        <v>648</v>
      </c>
      <c r="B652">
        <v>1.0609960185839691</v>
      </c>
      <c r="C652">
        <v>6.0996018583968997E-2</v>
      </c>
    </row>
    <row r="653" spans="1:3" x14ac:dyDescent="0.2">
      <c r="A653" t="s">
        <v>1697</v>
      </c>
      <c r="B653">
        <v>1</v>
      </c>
      <c r="C653">
        <v>0</v>
      </c>
    </row>
    <row r="654" spans="1:3" x14ac:dyDescent="0.2">
      <c r="A654" t="s">
        <v>650</v>
      </c>
      <c r="B654">
        <v>1.001569637121964</v>
      </c>
      <c r="C654">
        <v>1.5696371219642001E-3</v>
      </c>
    </row>
    <row r="655" spans="1:3" x14ac:dyDescent="0.2">
      <c r="A655" t="s">
        <v>1698</v>
      </c>
      <c r="B655">
        <v>0.99099782405968295</v>
      </c>
      <c r="C655">
        <v>-9.0021759403170008E-3</v>
      </c>
    </row>
    <row r="656" spans="1:3" x14ac:dyDescent="0.2">
      <c r="A656" t="s">
        <v>1699</v>
      </c>
      <c r="B656">
        <v>0.97911781484535021</v>
      </c>
      <c r="C656">
        <v>-2.08821851546497E-2</v>
      </c>
    </row>
    <row r="657" spans="1:3" x14ac:dyDescent="0.2">
      <c r="A657" t="s">
        <v>1700</v>
      </c>
      <c r="B657">
        <v>1</v>
      </c>
      <c r="C657">
        <v>0</v>
      </c>
    </row>
    <row r="658" spans="1:3" x14ac:dyDescent="0.2">
      <c r="A658" t="s">
        <v>654</v>
      </c>
      <c r="B658">
        <v>1.1242210220191109</v>
      </c>
      <c r="C658">
        <v>0.12422102201911089</v>
      </c>
    </row>
    <row r="659" spans="1:3" x14ac:dyDescent="0.2">
      <c r="A659" t="s">
        <v>658</v>
      </c>
      <c r="B659">
        <v>0.9817640795901954</v>
      </c>
      <c r="C659">
        <v>-1.8235920409804499E-2</v>
      </c>
    </row>
    <row r="660" spans="1:3" x14ac:dyDescent="0.2">
      <c r="A660" t="s">
        <v>660</v>
      </c>
      <c r="B660">
        <v>1.1435281050354651</v>
      </c>
      <c r="C660">
        <v>0.14352810503546459</v>
      </c>
    </row>
    <row r="661" spans="1:3" x14ac:dyDescent="0.2">
      <c r="A661" t="s">
        <v>1701</v>
      </c>
      <c r="B661">
        <v>1</v>
      </c>
      <c r="C661">
        <v>-1.110223024625156E-16</v>
      </c>
    </row>
    <row r="662" spans="1:3" x14ac:dyDescent="0.2">
      <c r="A662" t="s">
        <v>1702</v>
      </c>
      <c r="B662">
        <v>1</v>
      </c>
      <c r="C662">
        <v>0</v>
      </c>
    </row>
    <row r="663" spans="1:3" x14ac:dyDescent="0.2">
      <c r="A663" t="s">
        <v>1703</v>
      </c>
      <c r="B663">
        <v>1</v>
      </c>
      <c r="C663">
        <v>0</v>
      </c>
    </row>
    <row r="664" spans="1:3" x14ac:dyDescent="0.2">
      <c r="A664" t="s">
        <v>662</v>
      </c>
      <c r="B664">
        <v>0.96452412718954161</v>
      </c>
      <c r="C664">
        <v>-3.5475872810458199E-2</v>
      </c>
    </row>
    <row r="665" spans="1:3" x14ac:dyDescent="0.2">
      <c r="A665" t="s">
        <v>664</v>
      </c>
      <c r="B665">
        <v>1.0932471884672621</v>
      </c>
      <c r="C665">
        <v>9.3247188467262307E-2</v>
      </c>
    </row>
    <row r="666" spans="1:3" x14ac:dyDescent="0.2">
      <c r="A666" t="s">
        <v>666</v>
      </c>
      <c r="B666">
        <v>0.96040736441306596</v>
      </c>
      <c r="C666">
        <v>-3.9592635586933898E-2</v>
      </c>
    </row>
    <row r="667" spans="1:3" x14ac:dyDescent="0.2">
      <c r="A667" t="s">
        <v>668</v>
      </c>
      <c r="B667">
        <v>1.137880175313853</v>
      </c>
      <c r="C667">
        <v>0.13788017531385269</v>
      </c>
    </row>
    <row r="668" spans="1:3" x14ac:dyDescent="0.2">
      <c r="A668" t="s">
        <v>670</v>
      </c>
      <c r="B668">
        <v>1.0694436053615151</v>
      </c>
      <c r="C668">
        <v>6.9443605361514602E-2</v>
      </c>
    </row>
    <row r="669" spans="1:3" x14ac:dyDescent="0.2">
      <c r="A669" t="s">
        <v>672</v>
      </c>
      <c r="B669">
        <v>1.138199974423308</v>
      </c>
      <c r="C669">
        <v>0.1381999744233075</v>
      </c>
    </row>
    <row r="670" spans="1:3" x14ac:dyDescent="0.2">
      <c r="A670" t="s">
        <v>1704</v>
      </c>
      <c r="B670">
        <v>1</v>
      </c>
      <c r="C670">
        <v>0</v>
      </c>
    </row>
    <row r="671" spans="1:3" x14ac:dyDescent="0.2">
      <c r="A671" t="s">
        <v>674</v>
      </c>
      <c r="B671">
        <v>1.0550846866212369</v>
      </c>
      <c r="C671">
        <v>5.5084686621236598E-2</v>
      </c>
    </row>
    <row r="672" spans="1:3" x14ac:dyDescent="0.2">
      <c r="A672" t="s">
        <v>676</v>
      </c>
      <c r="B672">
        <v>1.0885128932589121</v>
      </c>
      <c r="C672">
        <v>8.8512893258911804E-2</v>
      </c>
    </row>
    <row r="673" spans="1:3" x14ac:dyDescent="0.2">
      <c r="A673" t="s">
        <v>1705</v>
      </c>
      <c r="B673">
        <v>1</v>
      </c>
      <c r="C673">
        <v>-1.110223024625156E-16</v>
      </c>
    </row>
    <row r="674" spans="1:3" x14ac:dyDescent="0.2">
      <c r="A674" t="s">
        <v>678</v>
      </c>
      <c r="B674">
        <v>0.96082018094950516</v>
      </c>
      <c r="C674">
        <v>-3.9179819050494703E-2</v>
      </c>
    </row>
    <row r="675" spans="1:3" x14ac:dyDescent="0.2">
      <c r="A675" t="s">
        <v>1706</v>
      </c>
      <c r="B675">
        <v>1</v>
      </c>
      <c r="C675">
        <v>0</v>
      </c>
    </row>
    <row r="676" spans="1:3" x14ac:dyDescent="0.2">
      <c r="A676" t="s">
        <v>1707</v>
      </c>
      <c r="B676">
        <v>1</v>
      </c>
      <c r="C676">
        <v>0</v>
      </c>
    </row>
    <row r="677" spans="1:3" x14ac:dyDescent="0.2">
      <c r="A677" t="s">
        <v>680</v>
      </c>
      <c r="B677">
        <v>1.0700226084587241</v>
      </c>
      <c r="C677">
        <v>7.0022608458723795E-2</v>
      </c>
    </row>
    <row r="678" spans="1:3" x14ac:dyDescent="0.2">
      <c r="A678" t="s">
        <v>682</v>
      </c>
      <c r="B678">
        <v>0.98181818181818181</v>
      </c>
      <c r="C678">
        <v>-1.8181818181818101E-2</v>
      </c>
    </row>
    <row r="679" spans="1:3" x14ac:dyDescent="0.2">
      <c r="A679" t="s">
        <v>1708</v>
      </c>
      <c r="B679">
        <v>1</v>
      </c>
      <c r="C679">
        <v>0</v>
      </c>
    </row>
    <row r="680" spans="1:3" x14ac:dyDescent="0.2">
      <c r="A680" t="s">
        <v>684</v>
      </c>
      <c r="B680">
        <v>0.97317339682560322</v>
      </c>
      <c r="C680">
        <v>-2.68266031743968E-2</v>
      </c>
    </row>
    <row r="681" spans="1:3" x14ac:dyDescent="0.2">
      <c r="A681" t="s">
        <v>1709</v>
      </c>
      <c r="B681">
        <v>1.051109312185283</v>
      </c>
      <c r="C681">
        <v>5.1109312185283202E-2</v>
      </c>
    </row>
    <row r="682" spans="1:3" x14ac:dyDescent="0.2">
      <c r="A682" t="s">
        <v>1710</v>
      </c>
      <c r="B682">
        <v>1</v>
      </c>
      <c r="C682">
        <v>0</v>
      </c>
    </row>
    <row r="683" spans="1:3" x14ac:dyDescent="0.2">
      <c r="A683" t="s">
        <v>1711</v>
      </c>
      <c r="B683">
        <v>1</v>
      </c>
      <c r="C683">
        <v>0</v>
      </c>
    </row>
    <row r="684" spans="1:3" x14ac:dyDescent="0.2">
      <c r="A684" t="s">
        <v>686</v>
      </c>
      <c r="B684">
        <v>0.9903859176662656</v>
      </c>
      <c r="C684">
        <v>-9.6140823337343001E-3</v>
      </c>
    </row>
    <row r="685" spans="1:3" x14ac:dyDescent="0.2">
      <c r="A685" t="s">
        <v>688</v>
      </c>
      <c r="B685">
        <v>1.065366258150175</v>
      </c>
      <c r="C685">
        <v>6.5366258150175494E-2</v>
      </c>
    </row>
    <row r="686" spans="1:3" x14ac:dyDescent="0.2">
      <c r="A686" t="s">
        <v>1712</v>
      </c>
      <c r="B686">
        <v>1</v>
      </c>
      <c r="C686">
        <v>0</v>
      </c>
    </row>
    <row r="687" spans="1:3" x14ac:dyDescent="0.2">
      <c r="A687" t="s">
        <v>1713</v>
      </c>
      <c r="B687">
        <v>1</v>
      </c>
      <c r="C687">
        <v>0</v>
      </c>
    </row>
    <row r="688" spans="1:3" x14ac:dyDescent="0.2">
      <c r="A688" t="s">
        <v>1714</v>
      </c>
      <c r="B688">
        <v>1</v>
      </c>
      <c r="C688">
        <v>0</v>
      </c>
    </row>
    <row r="689" spans="1:3" x14ac:dyDescent="0.2">
      <c r="A689" t="s">
        <v>1715</v>
      </c>
      <c r="B689">
        <v>1</v>
      </c>
      <c r="C689">
        <v>0</v>
      </c>
    </row>
    <row r="690" spans="1:3" x14ac:dyDescent="0.2">
      <c r="A690" t="s">
        <v>690</v>
      </c>
      <c r="B690">
        <v>1.053035647942532</v>
      </c>
      <c r="C690">
        <v>5.3035647942531502E-2</v>
      </c>
    </row>
    <row r="691" spans="1:3" x14ac:dyDescent="0.2">
      <c r="A691" t="s">
        <v>1716</v>
      </c>
      <c r="B691">
        <v>1.0439736037960821</v>
      </c>
      <c r="C691">
        <v>4.3973603796081999E-2</v>
      </c>
    </row>
    <row r="692" spans="1:3" x14ac:dyDescent="0.2">
      <c r="A692" t="s">
        <v>1717</v>
      </c>
      <c r="B692">
        <v>1</v>
      </c>
      <c r="C692">
        <v>0</v>
      </c>
    </row>
    <row r="693" spans="1:3" x14ac:dyDescent="0.2">
      <c r="A693" t="s">
        <v>1718</v>
      </c>
      <c r="B693">
        <v>1</v>
      </c>
      <c r="C693">
        <v>0</v>
      </c>
    </row>
    <row r="694" spans="1:3" x14ac:dyDescent="0.2">
      <c r="A694" t="s">
        <v>694</v>
      </c>
      <c r="B694">
        <v>1.0462000195815879</v>
      </c>
      <c r="C694">
        <v>4.6200019581588099E-2</v>
      </c>
    </row>
    <row r="695" spans="1:3" x14ac:dyDescent="0.2">
      <c r="A695" t="s">
        <v>1719</v>
      </c>
      <c r="B695">
        <v>1</v>
      </c>
      <c r="C695">
        <v>0</v>
      </c>
    </row>
    <row r="696" spans="1:3" x14ac:dyDescent="0.2">
      <c r="A696" t="s">
        <v>1720</v>
      </c>
      <c r="B696">
        <v>1</v>
      </c>
      <c r="C696">
        <v>0</v>
      </c>
    </row>
    <row r="697" spans="1:3" x14ac:dyDescent="0.2">
      <c r="A697" t="s">
        <v>696</v>
      </c>
      <c r="B697">
        <v>0.99623378387748318</v>
      </c>
      <c r="C697">
        <v>-3.7662161225167998E-3</v>
      </c>
    </row>
    <row r="698" spans="1:3" x14ac:dyDescent="0.2">
      <c r="A698" t="s">
        <v>698</v>
      </c>
      <c r="B698">
        <v>1.050567206087466</v>
      </c>
      <c r="C698">
        <v>5.0567206087466197E-2</v>
      </c>
    </row>
    <row r="699" spans="1:3" x14ac:dyDescent="0.2">
      <c r="A699" t="s">
        <v>1721</v>
      </c>
      <c r="B699">
        <v>1</v>
      </c>
      <c r="C699">
        <v>-1.110223024625156E-16</v>
      </c>
    </row>
    <row r="700" spans="1:3" x14ac:dyDescent="0.2">
      <c r="A700" t="s">
        <v>700</v>
      </c>
      <c r="B700">
        <v>1.1259728168406959</v>
      </c>
      <c r="C700">
        <v>0.12597281684069569</v>
      </c>
    </row>
    <row r="701" spans="1:3" x14ac:dyDescent="0.2">
      <c r="A701" t="s">
        <v>702</v>
      </c>
      <c r="B701">
        <v>1.0632982795438981</v>
      </c>
      <c r="C701">
        <v>6.3298279543897606E-2</v>
      </c>
    </row>
    <row r="702" spans="1:3" x14ac:dyDescent="0.2">
      <c r="A702" t="s">
        <v>704</v>
      </c>
      <c r="B702">
        <v>1.010584078084664</v>
      </c>
      <c r="C702">
        <v>1.05840780846637E-2</v>
      </c>
    </row>
    <row r="703" spans="1:3" x14ac:dyDescent="0.2">
      <c r="A703" t="s">
        <v>706</v>
      </c>
      <c r="B703">
        <v>1.0624509275114751</v>
      </c>
      <c r="C703">
        <v>6.2450927511474803E-2</v>
      </c>
    </row>
    <row r="704" spans="1:3" x14ac:dyDescent="0.2">
      <c r="A704" t="s">
        <v>1722</v>
      </c>
      <c r="B704">
        <v>1</v>
      </c>
      <c r="C704">
        <v>0</v>
      </c>
    </row>
    <row r="705" spans="1:3" x14ac:dyDescent="0.2">
      <c r="A705" t="s">
        <v>1723</v>
      </c>
      <c r="B705">
        <v>1</v>
      </c>
      <c r="C705">
        <v>0</v>
      </c>
    </row>
    <row r="706" spans="1:3" x14ac:dyDescent="0.2">
      <c r="A706" t="s">
        <v>1724</v>
      </c>
      <c r="B706">
        <v>1</v>
      </c>
      <c r="C706">
        <v>0</v>
      </c>
    </row>
    <row r="707" spans="1:3" x14ac:dyDescent="0.2">
      <c r="A707" t="s">
        <v>1725</v>
      </c>
      <c r="B707">
        <v>1</v>
      </c>
      <c r="C707">
        <v>0</v>
      </c>
    </row>
    <row r="708" spans="1:3" x14ac:dyDescent="0.2">
      <c r="A708" t="s">
        <v>1726</v>
      </c>
      <c r="B708">
        <v>1</v>
      </c>
      <c r="C708">
        <v>0</v>
      </c>
    </row>
    <row r="709" spans="1:3" x14ac:dyDescent="0.2">
      <c r="A709" t="s">
        <v>1727</v>
      </c>
      <c r="B709">
        <v>1.052663820004698</v>
      </c>
      <c r="C709">
        <v>5.2663820004697597E-2</v>
      </c>
    </row>
    <row r="710" spans="1:3" x14ac:dyDescent="0.2">
      <c r="A710" t="s">
        <v>1728</v>
      </c>
      <c r="B710">
        <v>1</v>
      </c>
      <c r="C710">
        <v>0</v>
      </c>
    </row>
    <row r="711" spans="1:3" x14ac:dyDescent="0.2">
      <c r="A711" t="s">
        <v>1729</v>
      </c>
      <c r="B711">
        <v>1</v>
      </c>
      <c r="C711">
        <v>0</v>
      </c>
    </row>
    <row r="712" spans="1:3" x14ac:dyDescent="0.2">
      <c r="A712" t="s">
        <v>710</v>
      </c>
      <c r="B712">
        <v>0.98579196395549762</v>
      </c>
      <c r="C712">
        <v>-1.42080360445024E-2</v>
      </c>
    </row>
    <row r="713" spans="1:3" x14ac:dyDescent="0.2">
      <c r="A713" t="s">
        <v>1730</v>
      </c>
      <c r="B713">
        <v>1</v>
      </c>
      <c r="C713">
        <v>0</v>
      </c>
    </row>
    <row r="714" spans="1:3" x14ac:dyDescent="0.2">
      <c r="A714" t="s">
        <v>1731</v>
      </c>
      <c r="B714">
        <v>1</v>
      </c>
      <c r="C714">
        <v>0</v>
      </c>
    </row>
    <row r="715" spans="1:3" x14ac:dyDescent="0.2">
      <c r="A715" t="s">
        <v>1732</v>
      </c>
      <c r="B715">
        <v>1</v>
      </c>
      <c r="C715">
        <v>0</v>
      </c>
    </row>
    <row r="716" spans="1:3" x14ac:dyDescent="0.2">
      <c r="A716" t="s">
        <v>1733</v>
      </c>
      <c r="B716">
        <v>1</v>
      </c>
      <c r="C716">
        <v>0</v>
      </c>
    </row>
    <row r="717" spans="1:3" x14ac:dyDescent="0.2">
      <c r="A717" t="s">
        <v>1734</v>
      </c>
      <c r="B717">
        <v>1</v>
      </c>
      <c r="C717">
        <v>0</v>
      </c>
    </row>
    <row r="718" spans="1:3" x14ac:dyDescent="0.2">
      <c r="A718" t="s">
        <v>712</v>
      </c>
      <c r="B718">
        <v>1.0044068338944281</v>
      </c>
      <c r="C718">
        <v>4.4068338944280002E-3</v>
      </c>
    </row>
    <row r="719" spans="1:3" x14ac:dyDescent="0.2">
      <c r="A719" t="s">
        <v>714</v>
      </c>
      <c r="B719">
        <v>1.06454557006572</v>
      </c>
      <c r="C719">
        <v>6.4545570065719801E-2</v>
      </c>
    </row>
    <row r="720" spans="1:3" x14ac:dyDescent="0.2">
      <c r="A720" t="s">
        <v>716</v>
      </c>
      <c r="B720">
        <v>1.0371758816473959</v>
      </c>
      <c r="C720">
        <v>3.7175881647396297E-2</v>
      </c>
    </row>
    <row r="721" spans="1:3" x14ac:dyDescent="0.2">
      <c r="A721" t="s">
        <v>1735</v>
      </c>
      <c r="B721">
        <v>1</v>
      </c>
      <c r="C721">
        <v>0</v>
      </c>
    </row>
    <row r="722" spans="1:3" x14ac:dyDescent="0.2">
      <c r="A722" t="s">
        <v>1736</v>
      </c>
      <c r="B722">
        <v>1.024064294939792</v>
      </c>
      <c r="C722">
        <v>2.4064294939792001E-2</v>
      </c>
    </row>
    <row r="723" spans="1:3" x14ac:dyDescent="0.2">
      <c r="A723" t="s">
        <v>720</v>
      </c>
      <c r="B723">
        <v>1.1077464835404429</v>
      </c>
      <c r="C723">
        <v>0.10774648354044331</v>
      </c>
    </row>
    <row r="724" spans="1:3" x14ac:dyDescent="0.2">
      <c r="A724" t="s">
        <v>722</v>
      </c>
      <c r="B724">
        <v>1.002200873362445</v>
      </c>
      <c r="C724">
        <v>2.2008733624452E-3</v>
      </c>
    </row>
    <row r="725" spans="1:3" x14ac:dyDescent="0.2">
      <c r="A725" t="s">
        <v>724</v>
      </c>
      <c r="B725">
        <v>1.0513423688071639</v>
      </c>
      <c r="C725">
        <v>5.13423688071643E-2</v>
      </c>
    </row>
    <row r="726" spans="1:3" x14ac:dyDescent="0.2">
      <c r="A726" t="s">
        <v>1737</v>
      </c>
      <c r="B726">
        <v>1</v>
      </c>
      <c r="C726">
        <v>0</v>
      </c>
    </row>
    <row r="727" spans="1:3" x14ac:dyDescent="0.2">
      <c r="A727" t="s">
        <v>1738</v>
      </c>
      <c r="B727">
        <v>1.0391866640315091</v>
      </c>
      <c r="C727">
        <v>3.9186664031509701E-2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Q366"/>
  <sheetViews>
    <sheetView showGridLines="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3" width="16" customWidth="1"/>
  </cols>
  <sheetData>
    <row r="1" spans="1:43" x14ac:dyDescent="0.2">
      <c r="A1" s="11" t="s">
        <v>1739</v>
      </c>
      <c r="B1" s="11" t="s">
        <v>1740</v>
      </c>
      <c r="C1" s="11" t="s">
        <v>1741</v>
      </c>
      <c r="D1" s="11" t="s">
        <v>1742</v>
      </c>
      <c r="E1" s="11" t="s">
        <v>1743</v>
      </c>
      <c r="F1" s="11" t="s">
        <v>1744</v>
      </c>
      <c r="G1" s="11" t="s">
        <v>1745</v>
      </c>
      <c r="H1" s="11" t="s">
        <v>1746</v>
      </c>
      <c r="I1" s="11" t="s">
        <v>1747</v>
      </c>
      <c r="J1" s="11" t="s">
        <v>1748</v>
      </c>
      <c r="K1" s="11" t="s">
        <v>1749</v>
      </c>
      <c r="L1" s="11" t="s">
        <v>1750</v>
      </c>
      <c r="M1" s="11" t="s">
        <v>1751</v>
      </c>
      <c r="N1" s="11" t="s">
        <v>1752</v>
      </c>
      <c r="O1" s="11" t="s">
        <v>1753</v>
      </c>
      <c r="P1" s="11" t="s">
        <v>1754</v>
      </c>
      <c r="Q1" s="11" t="s">
        <v>1755</v>
      </c>
      <c r="R1" s="11" t="s">
        <v>1756</v>
      </c>
      <c r="S1" s="11" t="s">
        <v>1757</v>
      </c>
      <c r="T1" s="11" t="s">
        <v>1758</v>
      </c>
      <c r="U1" s="11" t="s">
        <v>1759</v>
      </c>
      <c r="V1" s="11" t="s">
        <v>1760</v>
      </c>
      <c r="W1" s="11" t="s">
        <v>1761</v>
      </c>
      <c r="X1" s="11" t="s">
        <v>1762</v>
      </c>
      <c r="Y1" s="11" t="s">
        <v>1763</v>
      </c>
      <c r="Z1" s="11" t="s">
        <v>1764</v>
      </c>
      <c r="AA1" s="11" t="s">
        <v>1765</v>
      </c>
      <c r="AB1" s="11" t="s">
        <v>1766</v>
      </c>
      <c r="AC1" s="11" t="s">
        <v>1767</v>
      </c>
      <c r="AD1" s="11" t="s">
        <v>1768</v>
      </c>
      <c r="AE1" s="11" t="s">
        <v>1769</v>
      </c>
      <c r="AF1" s="11" t="s">
        <v>1770</v>
      </c>
      <c r="AG1" s="11" t="s">
        <v>1771</v>
      </c>
      <c r="AH1" s="11" t="s">
        <v>1772</v>
      </c>
      <c r="AI1" s="11" t="s">
        <v>1773</v>
      </c>
      <c r="AJ1" s="11" t="s">
        <v>1774</v>
      </c>
      <c r="AK1" s="11" t="s">
        <v>1775</v>
      </c>
      <c r="AL1" s="11" t="s">
        <v>1776</v>
      </c>
      <c r="AM1" s="11" t="s">
        <v>1777</v>
      </c>
      <c r="AN1" s="11" t="s">
        <v>1778</v>
      </c>
      <c r="AO1" s="11" t="s">
        <v>1779</v>
      </c>
      <c r="AP1" s="11" t="s">
        <v>1780</v>
      </c>
      <c r="AQ1" s="11" t="s">
        <v>1781</v>
      </c>
    </row>
    <row r="2" spans="1:43" x14ac:dyDescent="0.2">
      <c r="A2" t="s">
        <v>1782</v>
      </c>
      <c r="B2">
        <v>2026</v>
      </c>
      <c r="C2" t="s">
        <v>151</v>
      </c>
      <c r="D2">
        <v>0</v>
      </c>
      <c r="E2" t="s">
        <v>881</v>
      </c>
      <c r="F2" t="s">
        <v>1783</v>
      </c>
      <c r="G2">
        <v>30</v>
      </c>
      <c r="H2">
        <v>2</v>
      </c>
      <c r="I2">
        <v>39.338099999999997</v>
      </c>
      <c r="J2">
        <v>1</v>
      </c>
      <c r="K2">
        <v>0.98550000000000004</v>
      </c>
      <c r="L2">
        <v>1</v>
      </c>
      <c r="M2">
        <v>128.08099999999999</v>
      </c>
      <c r="N2">
        <v>5</v>
      </c>
      <c r="O2">
        <v>122.875</v>
      </c>
      <c r="P2">
        <v>4</v>
      </c>
      <c r="Q2">
        <v>88.742500000000007</v>
      </c>
      <c r="R2">
        <v>1</v>
      </c>
      <c r="S2">
        <v>93.684399999999997</v>
      </c>
      <c r="T2">
        <v>2</v>
      </c>
      <c r="U2">
        <v>67.330100000000002</v>
      </c>
      <c r="V2">
        <v>230</v>
      </c>
      <c r="W2">
        <v>65.315100000000001</v>
      </c>
      <c r="X2">
        <v>293</v>
      </c>
      <c r="Y2">
        <v>4.0899999999999999E-2</v>
      </c>
      <c r="Z2">
        <v>82</v>
      </c>
      <c r="AA2">
        <v>13.678900000000001</v>
      </c>
      <c r="AB2">
        <v>16</v>
      </c>
      <c r="AC2">
        <v>116.986</v>
      </c>
      <c r="AD2">
        <v>22</v>
      </c>
      <c r="AE2">
        <v>103.307</v>
      </c>
      <c r="AF2">
        <v>15</v>
      </c>
      <c r="AG2">
        <v>10.340199999999999</v>
      </c>
      <c r="AH2">
        <v>18</v>
      </c>
      <c r="AJ2">
        <v>17.18</v>
      </c>
      <c r="AK2">
        <v>130</v>
      </c>
      <c r="AL2">
        <v>18.350000000000001</v>
      </c>
      <c r="AM2">
        <v>338</v>
      </c>
      <c r="AN2">
        <v>18.329999999999998</v>
      </c>
      <c r="AO2">
        <v>13</v>
      </c>
      <c r="AP2">
        <v>18.27</v>
      </c>
      <c r="AQ2">
        <v>15</v>
      </c>
    </row>
    <row r="3" spans="1:43" x14ac:dyDescent="0.2">
      <c r="A3" t="s">
        <v>1782</v>
      </c>
      <c r="B3">
        <v>2026</v>
      </c>
      <c r="C3" t="s">
        <v>351</v>
      </c>
      <c r="D3">
        <v>0</v>
      </c>
      <c r="E3" t="s">
        <v>883</v>
      </c>
      <c r="F3" t="s">
        <v>1784</v>
      </c>
      <c r="G3">
        <v>29</v>
      </c>
      <c r="H3">
        <v>2</v>
      </c>
      <c r="I3">
        <v>39.260800000000003</v>
      </c>
      <c r="J3">
        <v>2</v>
      </c>
      <c r="K3">
        <v>0.98519999999999996</v>
      </c>
      <c r="L3">
        <v>2</v>
      </c>
      <c r="M3">
        <v>128.41900000000001</v>
      </c>
      <c r="N3">
        <v>4</v>
      </c>
      <c r="O3">
        <v>122.483</v>
      </c>
      <c r="P3">
        <v>7</v>
      </c>
      <c r="Q3">
        <v>89.158000000000001</v>
      </c>
      <c r="R3">
        <v>3</v>
      </c>
      <c r="S3">
        <v>96.232799999999997</v>
      </c>
      <c r="T3">
        <v>6</v>
      </c>
      <c r="U3">
        <v>71.864199999999997</v>
      </c>
      <c r="V3">
        <v>28</v>
      </c>
      <c r="W3">
        <v>71.498000000000005</v>
      </c>
      <c r="X3">
        <v>18</v>
      </c>
      <c r="Y3">
        <v>3.8899999999999997E-2</v>
      </c>
      <c r="Z3">
        <v>93</v>
      </c>
      <c r="AA3">
        <v>15.5898</v>
      </c>
      <c r="AB3">
        <v>4</v>
      </c>
      <c r="AC3">
        <v>118.416</v>
      </c>
      <c r="AD3">
        <v>7</v>
      </c>
      <c r="AE3">
        <v>102.82599999999999</v>
      </c>
      <c r="AF3">
        <v>6</v>
      </c>
      <c r="AG3">
        <v>12.559900000000001</v>
      </c>
      <c r="AH3">
        <v>10</v>
      </c>
      <c r="AJ3">
        <v>15.42</v>
      </c>
      <c r="AK3">
        <v>10</v>
      </c>
      <c r="AL3">
        <v>18.18</v>
      </c>
      <c r="AM3">
        <v>312</v>
      </c>
      <c r="AN3">
        <v>15.79</v>
      </c>
      <c r="AO3">
        <v>1</v>
      </c>
      <c r="AP3">
        <v>18.649999999999999</v>
      </c>
      <c r="AQ3">
        <v>13</v>
      </c>
    </row>
    <row r="4" spans="1:43" x14ac:dyDescent="0.2">
      <c r="A4" t="s">
        <v>1782</v>
      </c>
      <c r="B4">
        <v>2026</v>
      </c>
      <c r="C4" t="s">
        <v>25</v>
      </c>
      <c r="D4">
        <v>0</v>
      </c>
      <c r="E4" t="s">
        <v>885</v>
      </c>
      <c r="F4" t="s">
        <v>1785</v>
      </c>
      <c r="G4">
        <v>30</v>
      </c>
      <c r="H4">
        <v>2</v>
      </c>
      <c r="I4">
        <v>37.735599999999998</v>
      </c>
      <c r="J4">
        <v>3</v>
      </c>
      <c r="K4">
        <v>0.98319999999999996</v>
      </c>
      <c r="L4">
        <v>3</v>
      </c>
      <c r="M4">
        <v>126.624</v>
      </c>
      <c r="N4">
        <v>7</v>
      </c>
      <c r="O4">
        <v>119.983</v>
      </c>
      <c r="P4">
        <v>19</v>
      </c>
      <c r="Q4">
        <v>88.888900000000007</v>
      </c>
      <c r="R4">
        <v>2</v>
      </c>
      <c r="S4">
        <v>94.826499999999996</v>
      </c>
      <c r="T4">
        <v>3</v>
      </c>
      <c r="U4">
        <v>71.719700000000003</v>
      </c>
      <c r="V4">
        <v>30</v>
      </c>
      <c r="W4">
        <v>69.910300000000007</v>
      </c>
      <c r="X4">
        <v>51</v>
      </c>
      <c r="Y4">
        <v>8.2000000000000007E-3</v>
      </c>
      <c r="Z4">
        <v>170</v>
      </c>
      <c r="AA4">
        <v>13.8009</v>
      </c>
      <c r="AB4">
        <v>15</v>
      </c>
      <c r="AC4">
        <v>117.39100000000001</v>
      </c>
      <c r="AD4">
        <v>18</v>
      </c>
      <c r="AE4">
        <v>103.59</v>
      </c>
      <c r="AF4">
        <v>19</v>
      </c>
      <c r="AG4">
        <v>3.3849</v>
      </c>
      <c r="AH4">
        <v>97</v>
      </c>
      <c r="AJ4">
        <v>16.309999999999999</v>
      </c>
      <c r="AK4">
        <v>46</v>
      </c>
      <c r="AL4">
        <v>17.03</v>
      </c>
      <c r="AM4">
        <v>71</v>
      </c>
      <c r="AN4">
        <v>16.64</v>
      </c>
      <c r="AO4">
        <v>5</v>
      </c>
      <c r="AP4">
        <v>17.079999999999998</v>
      </c>
      <c r="AQ4">
        <v>5</v>
      </c>
    </row>
    <row r="5" spans="1:43" x14ac:dyDescent="0.2">
      <c r="A5" t="s">
        <v>1782</v>
      </c>
      <c r="B5">
        <v>2026</v>
      </c>
      <c r="C5" t="s">
        <v>183</v>
      </c>
      <c r="D5">
        <v>0</v>
      </c>
      <c r="E5" t="s">
        <v>887</v>
      </c>
      <c r="F5" t="s">
        <v>1786</v>
      </c>
      <c r="G5">
        <v>25</v>
      </c>
      <c r="H5">
        <v>6</v>
      </c>
      <c r="I5">
        <v>35.350700000000003</v>
      </c>
      <c r="J5">
        <v>4</v>
      </c>
      <c r="K5">
        <v>0.97750000000000004</v>
      </c>
      <c r="L5">
        <v>4</v>
      </c>
      <c r="M5">
        <v>126.452</v>
      </c>
      <c r="N5">
        <v>8</v>
      </c>
      <c r="O5">
        <v>120.617</v>
      </c>
      <c r="P5">
        <v>12</v>
      </c>
      <c r="Q5">
        <v>91.101699999999994</v>
      </c>
      <c r="R5">
        <v>5</v>
      </c>
      <c r="S5">
        <v>98.595100000000002</v>
      </c>
      <c r="T5">
        <v>20</v>
      </c>
      <c r="U5">
        <v>72.717699999999994</v>
      </c>
      <c r="V5">
        <v>14</v>
      </c>
      <c r="W5">
        <v>70.837000000000003</v>
      </c>
      <c r="X5">
        <v>24</v>
      </c>
      <c r="Y5">
        <v>-5.0999999999999997E-2</v>
      </c>
      <c r="Z5">
        <v>307</v>
      </c>
      <c r="AA5">
        <v>15.327199999999999</v>
      </c>
      <c r="AB5">
        <v>6</v>
      </c>
      <c r="AC5">
        <v>119.18899999999999</v>
      </c>
      <c r="AD5">
        <v>3</v>
      </c>
      <c r="AE5">
        <v>103.86199999999999</v>
      </c>
      <c r="AF5">
        <v>27</v>
      </c>
      <c r="AG5">
        <v>8.1356999999999999</v>
      </c>
      <c r="AH5">
        <v>29</v>
      </c>
      <c r="AJ5">
        <v>16.350000000000001</v>
      </c>
      <c r="AK5">
        <v>49</v>
      </c>
      <c r="AL5">
        <v>16.63</v>
      </c>
      <c r="AM5">
        <v>24</v>
      </c>
      <c r="AN5">
        <v>16.489999999999998</v>
      </c>
      <c r="AO5">
        <v>5</v>
      </c>
      <c r="AP5">
        <v>16.8</v>
      </c>
      <c r="AQ5">
        <v>4</v>
      </c>
    </row>
    <row r="6" spans="1:43" x14ac:dyDescent="0.2">
      <c r="A6" t="s">
        <v>1782</v>
      </c>
      <c r="B6">
        <v>2026</v>
      </c>
      <c r="C6" t="s">
        <v>243</v>
      </c>
      <c r="D6">
        <v>0</v>
      </c>
      <c r="E6" t="s">
        <v>883</v>
      </c>
      <c r="F6" t="s">
        <v>1787</v>
      </c>
      <c r="G6">
        <v>24</v>
      </c>
      <c r="H6">
        <v>7</v>
      </c>
      <c r="I6">
        <v>32.744199999999999</v>
      </c>
      <c r="J6">
        <v>5</v>
      </c>
      <c r="K6">
        <v>0.96399999999999997</v>
      </c>
      <c r="L6">
        <v>7</v>
      </c>
      <c r="M6">
        <v>131.684</v>
      </c>
      <c r="N6">
        <v>1</v>
      </c>
      <c r="O6">
        <v>125.774</v>
      </c>
      <c r="P6">
        <v>1</v>
      </c>
      <c r="Q6">
        <v>98.940200000000004</v>
      </c>
      <c r="R6">
        <v>27</v>
      </c>
      <c r="S6">
        <v>103.182</v>
      </c>
      <c r="T6">
        <v>66</v>
      </c>
      <c r="U6">
        <v>66.202699999999993</v>
      </c>
      <c r="V6">
        <v>289</v>
      </c>
      <c r="W6">
        <v>65.498400000000004</v>
      </c>
      <c r="X6">
        <v>284</v>
      </c>
      <c r="Y6">
        <v>-3.5000000000000003E-2</v>
      </c>
      <c r="Z6">
        <v>285</v>
      </c>
      <c r="AA6">
        <v>13.2356</v>
      </c>
      <c r="AB6">
        <v>19</v>
      </c>
      <c r="AC6">
        <v>116.947</v>
      </c>
      <c r="AD6">
        <v>23</v>
      </c>
      <c r="AE6">
        <v>103.712</v>
      </c>
      <c r="AF6">
        <v>23</v>
      </c>
      <c r="AG6">
        <v>3.8576999999999999</v>
      </c>
      <c r="AH6">
        <v>89</v>
      </c>
      <c r="AJ6">
        <v>18.93</v>
      </c>
      <c r="AK6">
        <v>325</v>
      </c>
      <c r="AL6">
        <v>17.670000000000002</v>
      </c>
      <c r="AM6">
        <v>220</v>
      </c>
      <c r="AN6">
        <v>19.75</v>
      </c>
      <c r="AO6">
        <v>17</v>
      </c>
      <c r="AP6">
        <v>17.88</v>
      </c>
      <c r="AQ6">
        <v>3</v>
      </c>
    </row>
    <row r="7" spans="1:43" x14ac:dyDescent="0.2">
      <c r="A7" t="s">
        <v>1782</v>
      </c>
      <c r="B7">
        <v>2026</v>
      </c>
      <c r="C7" t="s">
        <v>233</v>
      </c>
      <c r="D7">
        <v>0</v>
      </c>
      <c r="E7" t="s">
        <v>885</v>
      </c>
      <c r="F7" t="s">
        <v>1788</v>
      </c>
      <c r="G7">
        <v>27</v>
      </c>
      <c r="H7">
        <v>5</v>
      </c>
      <c r="I7">
        <v>32.508800000000001</v>
      </c>
      <c r="J7">
        <v>6</v>
      </c>
      <c r="K7">
        <v>0.97009999999999996</v>
      </c>
      <c r="L7">
        <v>6</v>
      </c>
      <c r="M7">
        <v>124.505</v>
      </c>
      <c r="N7">
        <v>17</v>
      </c>
      <c r="O7">
        <v>118.718</v>
      </c>
      <c r="P7">
        <v>31</v>
      </c>
      <c r="Q7">
        <v>91.996200000000002</v>
      </c>
      <c r="R7">
        <v>6</v>
      </c>
      <c r="S7">
        <v>96.290199999999999</v>
      </c>
      <c r="T7">
        <v>7</v>
      </c>
      <c r="U7">
        <v>65.043199999999999</v>
      </c>
      <c r="V7">
        <v>332</v>
      </c>
      <c r="W7">
        <v>63.466000000000001</v>
      </c>
      <c r="X7">
        <v>345</v>
      </c>
      <c r="Y7">
        <v>8.5000000000000006E-3</v>
      </c>
      <c r="Z7">
        <v>167</v>
      </c>
      <c r="AA7">
        <v>12.3786</v>
      </c>
      <c r="AB7">
        <v>29</v>
      </c>
      <c r="AC7">
        <v>116.566</v>
      </c>
      <c r="AD7">
        <v>27</v>
      </c>
      <c r="AE7">
        <v>104.187</v>
      </c>
      <c r="AF7">
        <v>38</v>
      </c>
      <c r="AG7">
        <v>0.86339999999999995</v>
      </c>
      <c r="AH7">
        <v>156</v>
      </c>
      <c r="AJ7">
        <v>18.329999999999998</v>
      </c>
      <c r="AK7">
        <v>270</v>
      </c>
      <c r="AL7">
        <v>18.29</v>
      </c>
      <c r="AM7">
        <v>335</v>
      </c>
      <c r="AN7">
        <v>18.46</v>
      </c>
      <c r="AO7">
        <v>13</v>
      </c>
      <c r="AP7">
        <v>18.59</v>
      </c>
      <c r="AQ7">
        <v>16</v>
      </c>
    </row>
    <row r="8" spans="1:43" x14ac:dyDescent="0.2">
      <c r="A8" t="s">
        <v>1782</v>
      </c>
      <c r="B8">
        <v>2026</v>
      </c>
      <c r="C8" t="s">
        <v>259</v>
      </c>
      <c r="D8">
        <v>0</v>
      </c>
      <c r="E8" t="s">
        <v>885</v>
      </c>
      <c r="F8" t="s">
        <v>1789</v>
      </c>
      <c r="G8">
        <v>27</v>
      </c>
      <c r="H8">
        <v>6</v>
      </c>
      <c r="I8">
        <v>32.255200000000002</v>
      </c>
      <c r="J8">
        <v>7</v>
      </c>
      <c r="K8">
        <v>0.97040000000000004</v>
      </c>
      <c r="L8">
        <v>5</v>
      </c>
      <c r="M8">
        <v>123.184</v>
      </c>
      <c r="N8">
        <v>23</v>
      </c>
      <c r="O8">
        <v>119.521</v>
      </c>
      <c r="P8">
        <v>21</v>
      </c>
      <c r="Q8">
        <v>90.929299999999998</v>
      </c>
      <c r="R8">
        <v>4</v>
      </c>
      <c r="S8">
        <v>95.143500000000003</v>
      </c>
      <c r="T8">
        <v>4</v>
      </c>
      <c r="U8">
        <v>68.238299999999995</v>
      </c>
      <c r="V8">
        <v>192</v>
      </c>
      <c r="W8">
        <v>66.672600000000003</v>
      </c>
      <c r="X8">
        <v>223</v>
      </c>
      <c r="Y8">
        <v>3.8E-3</v>
      </c>
      <c r="Z8">
        <v>179</v>
      </c>
      <c r="AA8">
        <v>11.595599999999999</v>
      </c>
      <c r="AB8">
        <v>39</v>
      </c>
      <c r="AC8">
        <v>115.31100000000001</v>
      </c>
      <c r="AD8">
        <v>52</v>
      </c>
      <c r="AE8">
        <v>103.715</v>
      </c>
      <c r="AF8">
        <v>25</v>
      </c>
      <c r="AG8">
        <v>-3.6591</v>
      </c>
      <c r="AH8">
        <v>280</v>
      </c>
      <c r="AJ8">
        <v>16.579999999999998</v>
      </c>
      <c r="AK8">
        <v>65</v>
      </c>
      <c r="AL8">
        <v>18.350000000000001</v>
      </c>
      <c r="AM8">
        <v>339</v>
      </c>
      <c r="AN8">
        <v>17.12</v>
      </c>
      <c r="AO8">
        <v>8</v>
      </c>
      <c r="AP8">
        <v>18.53</v>
      </c>
      <c r="AQ8">
        <v>15</v>
      </c>
    </row>
    <row r="9" spans="1:43" x14ac:dyDescent="0.2">
      <c r="A9" t="s">
        <v>1782</v>
      </c>
      <c r="B9">
        <v>2026</v>
      </c>
      <c r="C9" t="s">
        <v>479</v>
      </c>
      <c r="D9">
        <v>0</v>
      </c>
      <c r="E9" t="s">
        <v>883</v>
      </c>
      <c r="F9" t="s">
        <v>1790</v>
      </c>
      <c r="G9">
        <v>24</v>
      </c>
      <c r="H9">
        <v>8</v>
      </c>
      <c r="I9">
        <v>29.572099999999999</v>
      </c>
      <c r="J9">
        <v>8</v>
      </c>
      <c r="K9">
        <v>0.95</v>
      </c>
      <c r="L9">
        <v>12</v>
      </c>
      <c r="M9">
        <v>130.88</v>
      </c>
      <c r="N9">
        <v>2</v>
      </c>
      <c r="O9">
        <v>124.747</v>
      </c>
      <c r="P9">
        <v>2</v>
      </c>
      <c r="Q9">
        <v>101.30800000000001</v>
      </c>
      <c r="R9">
        <v>39</v>
      </c>
      <c r="S9">
        <v>107.386</v>
      </c>
      <c r="T9">
        <v>144</v>
      </c>
      <c r="U9">
        <v>65.675200000000004</v>
      </c>
      <c r="V9">
        <v>312</v>
      </c>
      <c r="W9">
        <v>64.792199999999994</v>
      </c>
      <c r="X9">
        <v>315</v>
      </c>
      <c r="Y9">
        <v>-1.7999999999999999E-2</v>
      </c>
      <c r="Z9">
        <v>231</v>
      </c>
      <c r="AA9">
        <v>14.540800000000001</v>
      </c>
      <c r="AB9">
        <v>9</v>
      </c>
      <c r="AC9">
        <v>118.042</v>
      </c>
      <c r="AD9">
        <v>10</v>
      </c>
      <c r="AE9">
        <v>103.502</v>
      </c>
      <c r="AF9">
        <v>18</v>
      </c>
      <c r="AG9">
        <v>6.2801999999999998</v>
      </c>
      <c r="AH9">
        <v>50</v>
      </c>
      <c r="AJ9">
        <v>18.48</v>
      </c>
      <c r="AK9">
        <v>291</v>
      </c>
      <c r="AL9">
        <v>18.22</v>
      </c>
      <c r="AM9">
        <v>326</v>
      </c>
      <c r="AN9">
        <v>18.62</v>
      </c>
      <c r="AO9">
        <v>11</v>
      </c>
      <c r="AP9">
        <v>18.61</v>
      </c>
      <c r="AQ9">
        <v>12</v>
      </c>
    </row>
    <row r="10" spans="1:43" x14ac:dyDescent="0.2">
      <c r="A10" t="s">
        <v>1782</v>
      </c>
      <c r="B10">
        <v>2026</v>
      </c>
      <c r="C10" t="s">
        <v>349</v>
      </c>
      <c r="D10">
        <v>0</v>
      </c>
      <c r="E10" t="s">
        <v>883</v>
      </c>
      <c r="F10" t="s">
        <v>1791</v>
      </c>
      <c r="G10">
        <v>25</v>
      </c>
      <c r="H10">
        <v>6</v>
      </c>
      <c r="I10">
        <v>28.884499999999999</v>
      </c>
      <c r="J10">
        <v>9</v>
      </c>
      <c r="K10">
        <v>0.95640000000000003</v>
      </c>
      <c r="L10">
        <v>8</v>
      </c>
      <c r="M10">
        <v>122.672</v>
      </c>
      <c r="N10">
        <v>27</v>
      </c>
      <c r="O10">
        <v>116.938</v>
      </c>
      <c r="P10">
        <v>46</v>
      </c>
      <c r="Q10">
        <v>93.787700000000001</v>
      </c>
      <c r="R10">
        <v>8</v>
      </c>
      <c r="S10">
        <v>100.398</v>
      </c>
      <c r="T10">
        <v>34</v>
      </c>
      <c r="U10">
        <v>66.803100000000001</v>
      </c>
      <c r="V10">
        <v>253</v>
      </c>
      <c r="W10">
        <v>65.886099999999999</v>
      </c>
      <c r="X10">
        <v>265</v>
      </c>
      <c r="Y10">
        <v>1.9400000000000001E-2</v>
      </c>
      <c r="Z10">
        <v>130</v>
      </c>
      <c r="AA10">
        <v>13.3179</v>
      </c>
      <c r="AB10">
        <v>18</v>
      </c>
      <c r="AC10">
        <v>118.057</v>
      </c>
      <c r="AD10">
        <v>9</v>
      </c>
      <c r="AE10">
        <v>104.739</v>
      </c>
      <c r="AF10">
        <v>58</v>
      </c>
      <c r="AG10">
        <v>3.6185999999999998</v>
      </c>
      <c r="AH10">
        <v>92</v>
      </c>
      <c r="AJ10">
        <v>17.649999999999999</v>
      </c>
      <c r="AK10">
        <v>189</v>
      </c>
      <c r="AL10">
        <v>18.38</v>
      </c>
      <c r="AM10">
        <v>343</v>
      </c>
      <c r="AN10">
        <v>17.940000000000001</v>
      </c>
      <c r="AO10">
        <v>6</v>
      </c>
      <c r="AP10">
        <v>18.96</v>
      </c>
      <c r="AQ10">
        <v>14</v>
      </c>
    </row>
    <row r="11" spans="1:43" x14ac:dyDescent="0.2">
      <c r="A11" t="s">
        <v>1782</v>
      </c>
      <c r="B11">
        <v>2026</v>
      </c>
      <c r="C11" t="s">
        <v>123</v>
      </c>
      <c r="D11">
        <v>0</v>
      </c>
      <c r="E11" t="s">
        <v>894</v>
      </c>
      <c r="F11" t="s">
        <v>1792</v>
      </c>
      <c r="G11">
        <v>28</v>
      </c>
      <c r="H11">
        <v>4</v>
      </c>
      <c r="I11">
        <v>28.8108</v>
      </c>
      <c r="J11">
        <v>10</v>
      </c>
      <c r="K11">
        <v>0.95509999999999995</v>
      </c>
      <c r="L11">
        <v>9</v>
      </c>
      <c r="M11">
        <v>123.389</v>
      </c>
      <c r="N11">
        <v>22</v>
      </c>
      <c r="O11">
        <v>117.538</v>
      </c>
      <c r="P11">
        <v>41</v>
      </c>
      <c r="Q11">
        <v>94.578599999999994</v>
      </c>
      <c r="R11">
        <v>13</v>
      </c>
      <c r="S11">
        <v>97.558000000000007</v>
      </c>
      <c r="T11">
        <v>12</v>
      </c>
      <c r="U11">
        <v>66.345399999999998</v>
      </c>
      <c r="V11">
        <v>285</v>
      </c>
      <c r="W11">
        <v>64.734499999999997</v>
      </c>
      <c r="X11">
        <v>320</v>
      </c>
      <c r="Y11">
        <v>4.7800000000000002E-2</v>
      </c>
      <c r="Z11">
        <v>62</v>
      </c>
      <c r="AA11">
        <v>11.4703</v>
      </c>
      <c r="AB11">
        <v>42</v>
      </c>
      <c r="AC11">
        <v>115.205</v>
      </c>
      <c r="AD11">
        <v>56</v>
      </c>
      <c r="AE11">
        <v>103.735</v>
      </c>
      <c r="AF11">
        <v>26</v>
      </c>
      <c r="AG11">
        <v>7.8834</v>
      </c>
      <c r="AH11">
        <v>32</v>
      </c>
      <c r="AJ11">
        <v>19.03</v>
      </c>
      <c r="AK11">
        <v>332</v>
      </c>
      <c r="AL11">
        <v>17.23</v>
      </c>
      <c r="AM11">
        <v>112</v>
      </c>
      <c r="AN11">
        <v>19.36</v>
      </c>
      <c r="AO11">
        <v>10</v>
      </c>
      <c r="AP11">
        <v>17.100000000000001</v>
      </c>
      <c r="AQ11">
        <v>4</v>
      </c>
    </row>
    <row r="12" spans="1:43" x14ac:dyDescent="0.2">
      <c r="A12" t="s">
        <v>1782</v>
      </c>
      <c r="B12">
        <v>2026</v>
      </c>
      <c r="C12" t="s">
        <v>211</v>
      </c>
      <c r="D12">
        <v>0</v>
      </c>
      <c r="E12" t="s">
        <v>896</v>
      </c>
      <c r="F12" t="s">
        <v>1793</v>
      </c>
      <c r="G12">
        <v>30</v>
      </c>
      <c r="H12">
        <v>3</v>
      </c>
      <c r="I12">
        <v>28.236899999999999</v>
      </c>
      <c r="J12">
        <v>11</v>
      </c>
      <c r="K12">
        <v>0.9536</v>
      </c>
      <c r="L12">
        <v>10</v>
      </c>
      <c r="M12">
        <v>122.181</v>
      </c>
      <c r="N12">
        <v>30</v>
      </c>
      <c r="O12">
        <v>120.524</v>
      </c>
      <c r="P12">
        <v>14</v>
      </c>
      <c r="Q12">
        <v>93.944000000000003</v>
      </c>
      <c r="R12">
        <v>11</v>
      </c>
      <c r="S12">
        <v>93.573400000000007</v>
      </c>
      <c r="T12">
        <v>1</v>
      </c>
      <c r="U12">
        <v>70.411500000000004</v>
      </c>
      <c r="V12">
        <v>80</v>
      </c>
      <c r="W12">
        <v>68.613500000000002</v>
      </c>
      <c r="X12">
        <v>113</v>
      </c>
      <c r="Y12">
        <v>7.2499999999999995E-2</v>
      </c>
      <c r="Z12">
        <v>30</v>
      </c>
      <c r="AA12">
        <v>5.8917000000000002</v>
      </c>
      <c r="AB12">
        <v>86</v>
      </c>
      <c r="AC12">
        <v>113.157</v>
      </c>
      <c r="AD12">
        <v>82</v>
      </c>
      <c r="AE12">
        <v>107.265</v>
      </c>
      <c r="AF12">
        <v>98</v>
      </c>
      <c r="AG12">
        <v>8.2849000000000004</v>
      </c>
      <c r="AH12">
        <v>26</v>
      </c>
      <c r="AJ12">
        <v>16.03</v>
      </c>
      <c r="AK12">
        <v>31</v>
      </c>
      <c r="AL12">
        <v>17.88</v>
      </c>
      <c r="AM12">
        <v>266</v>
      </c>
      <c r="AN12">
        <v>16.170000000000002</v>
      </c>
      <c r="AO12">
        <v>2</v>
      </c>
      <c r="AP12">
        <v>18.63</v>
      </c>
      <c r="AQ12">
        <v>12</v>
      </c>
    </row>
    <row r="13" spans="1:43" x14ac:dyDescent="0.2">
      <c r="A13" t="s">
        <v>1782</v>
      </c>
      <c r="B13">
        <v>2026</v>
      </c>
      <c r="C13" t="s">
        <v>385</v>
      </c>
      <c r="D13">
        <v>0</v>
      </c>
      <c r="E13" t="s">
        <v>883</v>
      </c>
      <c r="F13" t="s">
        <v>1794</v>
      </c>
      <c r="G13">
        <v>26</v>
      </c>
      <c r="H13">
        <v>5</v>
      </c>
      <c r="I13">
        <v>27.001899999999999</v>
      </c>
      <c r="J13">
        <v>12</v>
      </c>
      <c r="K13">
        <v>0.95040000000000002</v>
      </c>
      <c r="L13">
        <v>11</v>
      </c>
      <c r="M13">
        <v>119.242</v>
      </c>
      <c r="N13">
        <v>54</v>
      </c>
      <c r="O13">
        <v>114.423</v>
      </c>
      <c r="P13">
        <v>70</v>
      </c>
      <c r="Q13">
        <v>92.24</v>
      </c>
      <c r="R13">
        <v>7</v>
      </c>
      <c r="S13">
        <v>96.999899999999997</v>
      </c>
      <c r="T13">
        <v>9</v>
      </c>
      <c r="U13">
        <v>67.496099999999998</v>
      </c>
      <c r="V13">
        <v>222</v>
      </c>
      <c r="W13">
        <v>66.867500000000007</v>
      </c>
      <c r="X13">
        <v>210</v>
      </c>
      <c r="Y13">
        <v>2.7900000000000001E-2</v>
      </c>
      <c r="Z13">
        <v>117</v>
      </c>
      <c r="AA13">
        <v>10.782299999999999</v>
      </c>
      <c r="AB13">
        <v>60</v>
      </c>
      <c r="AC13">
        <v>115.968</v>
      </c>
      <c r="AD13">
        <v>40</v>
      </c>
      <c r="AE13">
        <v>105.18600000000001</v>
      </c>
      <c r="AF13">
        <v>64</v>
      </c>
      <c r="AG13">
        <v>-6.0110000000000001</v>
      </c>
      <c r="AH13">
        <v>317</v>
      </c>
      <c r="AJ13">
        <v>16.89</v>
      </c>
      <c r="AK13">
        <v>91</v>
      </c>
      <c r="AL13">
        <v>18.72</v>
      </c>
      <c r="AM13">
        <v>357</v>
      </c>
      <c r="AN13">
        <v>17.39</v>
      </c>
      <c r="AO13">
        <v>3</v>
      </c>
      <c r="AP13">
        <v>19.28</v>
      </c>
      <c r="AQ13">
        <v>18</v>
      </c>
    </row>
    <row r="14" spans="1:43" x14ac:dyDescent="0.2">
      <c r="A14" t="s">
        <v>1782</v>
      </c>
      <c r="B14">
        <v>2026</v>
      </c>
      <c r="C14" t="s">
        <v>677</v>
      </c>
      <c r="D14">
        <v>0</v>
      </c>
      <c r="E14" t="s">
        <v>887</v>
      </c>
      <c r="F14" t="s">
        <v>1795</v>
      </c>
      <c r="G14">
        <v>24</v>
      </c>
      <c r="H14">
        <v>7</v>
      </c>
      <c r="I14">
        <v>26.458100000000002</v>
      </c>
      <c r="J14">
        <v>13</v>
      </c>
      <c r="K14">
        <v>0.93820000000000003</v>
      </c>
      <c r="L14">
        <v>15</v>
      </c>
      <c r="M14">
        <v>125.63500000000001</v>
      </c>
      <c r="N14">
        <v>10</v>
      </c>
      <c r="O14">
        <v>121.041</v>
      </c>
      <c r="P14">
        <v>10</v>
      </c>
      <c r="Q14">
        <v>99.177099999999996</v>
      </c>
      <c r="R14">
        <v>28</v>
      </c>
      <c r="S14">
        <v>104.92100000000001</v>
      </c>
      <c r="T14">
        <v>89</v>
      </c>
      <c r="U14">
        <v>71.302599999999998</v>
      </c>
      <c r="V14">
        <v>43</v>
      </c>
      <c r="W14">
        <v>69.460800000000006</v>
      </c>
      <c r="X14">
        <v>72</v>
      </c>
      <c r="Y14">
        <v>1.9900000000000001E-2</v>
      </c>
      <c r="Z14">
        <v>128</v>
      </c>
      <c r="AA14">
        <v>12.942</v>
      </c>
      <c r="AB14">
        <v>24</v>
      </c>
      <c r="AC14">
        <v>117.429</v>
      </c>
      <c r="AD14">
        <v>17</v>
      </c>
      <c r="AE14">
        <v>104.48699999999999</v>
      </c>
      <c r="AF14">
        <v>48</v>
      </c>
      <c r="AG14">
        <v>1.0900000000000001</v>
      </c>
      <c r="AH14">
        <v>150</v>
      </c>
      <c r="AJ14">
        <v>16.329999999999998</v>
      </c>
      <c r="AK14">
        <v>48</v>
      </c>
      <c r="AL14">
        <v>17.309999999999999</v>
      </c>
      <c r="AM14">
        <v>129</v>
      </c>
      <c r="AN14">
        <v>16.96</v>
      </c>
      <c r="AO14">
        <v>6</v>
      </c>
      <c r="AP14">
        <v>17.59</v>
      </c>
      <c r="AQ14">
        <v>10</v>
      </c>
    </row>
    <row r="15" spans="1:43" x14ac:dyDescent="0.2">
      <c r="A15" t="s">
        <v>1782</v>
      </c>
      <c r="B15">
        <v>2026</v>
      </c>
      <c r="C15" t="s">
        <v>595</v>
      </c>
      <c r="D15">
        <v>0</v>
      </c>
      <c r="E15" t="s">
        <v>887</v>
      </c>
      <c r="F15" t="s">
        <v>1796</v>
      </c>
      <c r="G15">
        <v>22</v>
      </c>
      <c r="H15">
        <v>10</v>
      </c>
      <c r="I15">
        <v>26.421800000000001</v>
      </c>
      <c r="J15">
        <v>14</v>
      </c>
      <c r="K15">
        <v>0.94410000000000005</v>
      </c>
      <c r="L15">
        <v>13</v>
      </c>
      <c r="M15">
        <v>121.249</v>
      </c>
      <c r="N15">
        <v>36</v>
      </c>
      <c r="O15">
        <v>117.21899999999999</v>
      </c>
      <c r="P15">
        <v>44</v>
      </c>
      <c r="Q15">
        <v>94.826899999999995</v>
      </c>
      <c r="R15">
        <v>14</v>
      </c>
      <c r="S15">
        <v>101.76600000000001</v>
      </c>
      <c r="T15">
        <v>41</v>
      </c>
      <c r="U15">
        <v>67.461299999999994</v>
      </c>
      <c r="V15">
        <v>224</v>
      </c>
      <c r="W15">
        <v>65.138099999999994</v>
      </c>
      <c r="X15">
        <v>299</v>
      </c>
      <c r="Y15">
        <v>-5.0900000000000001E-2</v>
      </c>
      <c r="Z15">
        <v>306</v>
      </c>
      <c r="AA15">
        <v>14.207000000000001</v>
      </c>
      <c r="AB15">
        <v>13</v>
      </c>
      <c r="AC15">
        <v>118.934</v>
      </c>
      <c r="AD15">
        <v>4</v>
      </c>
      <c r="AE15">
        <v>104.727</v>
      </c>
      <c r="AF15">
        <v>57</v>
      </c>
      <c r="AG15">
        <v>0.7923</v>
      </c>
      <c r="AH15">
        <v>159</v>
      </c>
      <c r="AJ15">
        <v>17.88</v>
      </c>
      <c r="AK15">
        <v>222</v>
      </c>
      <c r="AL15">
        <v>17.7</v>
      </c>
      <c r="AM15">
        <v>227</v>
      </c>
      <c r="AN15">
        <v>18.96</v>
      </c>
      <c r="AO15">
        <v>15</v>
      </c>
      <c r="AP15">
        <v>17.32</v>
      </c>
      <c r="AQ15">
        <v>6</v>
      </c>
    </row>
    <row r="16" spans="1:43" x14ac:dyDescent="0.2">
      <c r="A16" t="s">
        <v>1782</v>
      </c>
      <c r="B16">
        <v>2026</v>
      </c>
      <c r="C16" t="s">
        <v>11</v>
      </c>
      <c r="D16">
        <v>0</v>
      </c>
      <c r="E16" t="s">
        <v>887</v>
      </c>
      <c r="F16" t="s">
        <v>1797</v>
      </c>
      <c r="G16">
        <v>23</v>
      </c>
      <c r="H16">
        <v>8</v>
      </c>
      <c r="I16">
        <v>26.188600000000001</v>
      </c>
      <c r="J16">
        <v>15</v>
      </c>
      <c r="K16">
        <v>0.9304</v>
      </c>
      <c r="L16">
        <v>20</v>
      </c>
      <c r="M16">
        <v>129.74100000000001</v>
      </c>
      <c r="N16">
        <v>3</v>
      </c>
      <c r="O16">
        <v>122.447</v>
      </c>
      <c r="P16">
        <v>8</v>
      </c>
      <c r="Q16">
        <v>103.55200000000001</v>
      </c>
      <c r="R16">
        <v>68</v>
      </c>
      <c r="S16">
        <v>111.105</v>
      </c>
      <c r="T16">
        <v>244</v>
      </c>
      <c r="U16">
        <v>74.650999999999996</v>
      </c>
      <c r="V16">
        <v>5</v>
      </c>
      <c r="W16">
        <v>73.001300000000001</v>
      </c>
      <c r="X16">
        <v>4</v>
      </c>
      <c r="Y16">
        <v>3.7900000000000003E-2</v>
      </c>
      <c r="Z16">
        <v>94</v>
      </c>
      <c r="AA16">
        <v>16.711200000000002</v>
      </c>
      <c r="AB16">
        <v>1</v>
      </c>
      <c r="AC16">
        <v>119.64400000000001</v>
      </c>
      <c r="AD16">
        <v>1</v>
      </c>
      <c r="AE16">
        <v>102.932</v>
      </c>
      <c r="AF16">
        <v>8</v>
      </c>
      <c r="AG16">
        <v>13.0036</v>
      </c>
      <c r="AH16">
        <v>9</v>
      </c>
      <c r="AJ16">
        <v>15.31</v>
      </c>
      <c r="AK16">
        <v>8</v>
      </c>
      <c r="AL16">
        <v>16.899999999999999</v>
      </c>
      <c r="AM16">
        <v>46</v>
      </c>
      <c r="AN16">
        <v>15.87</v>
      </c>
      <c r="AO16">
        <v>1</v>
      </c>
      <c r="AP16">
        <v>16.87</v>
      </c>
      <c r="AQ16">
        <v>5</v>
      </c>
    </row>
    <row r="17" spans="1:43" x14ac:dyDescent="0.2">
      <c r="A17" t="s">
        <v>1782</v>
      </c>
      <c r="B17">
        <v>2026</v>
      </c>
      <c r="C17" t="s">
        <v>27</v>
      </c>
      <c r="D17">
        <v>0</v>
      </c>
      <c r="E17" t="s">
        <v>887</v>
      </c>
      <c r="F17" t="s">
        <v>1798</v>
      </c>
      <c r="G17">
        <v>23</v>
      </c>
      <c r="H17">
        <v>8</v>
      </c>
      <c r="I17">
        <v>25.8674</v>
      </c>
      <c r="J17">
        <v>16</v>
      </c>
      <c r="K17">
        <v>0.93069999999999997</v>
      </c>
      <c r="L17">
        <v>19</v>
      </c>
      <c r="M17">
        <v>127.95699999999999</v>
      </c>
      <c r="N17">
        <v>6</v>
      </c>
      <c r="O17">
        <v>122.83</v>
      </c>
      <c r="P17">
        <v>5</v>
      </c>
      <c r="Q17">
        <v>102.09</v>
      </c>
      <c r="R17">
        <v>46</v>
      </c>
      <c r="S17">
        <v>108.82899999999999</v>
      </c>
      <c r="T17">
        <v>189</v>
      </c>
      <c r="U17">
        <v>72.677899999999994</v>
      </c>
      <c r="V17">
        <v>15</v>
      </c>
      <c r="W17">
        <v>71.138000000000005</v>
      </c>
      <c r="X17">
        <v>22</v>
      </c>
      <c r="Y17">
        <v>2.8899999999999999E-2</v>
      </c>
      <c r="Z17">
        <v>112</v>
      </c>
      <c r="AA17">
        <v>14.2995</v>
      </c>
      <c r="AB17">
        <v>11</v>
      </c>
      <c r="AC17">
        <v>118.605</v>
      </c>
      <c r="AD17">
        <v>6</v>
      </c>
      <c r="AE17">
        <v>104.306</v>
      </c>
      <c r="AF17">
        <v>43</v>
      </c>
      <c r="AG17">
        <v>4.3978999999999999</v>
      </c>
      <c r="AH17">
        <v>81</v>
      </c>
      <c r="AJ17">
        <v>15.7</v>
      </c>
      <c r="AK17">
        <v>18</v>
      </c>
      <c r="AL17">
        <v>17.47</v>
      </c>
      <c r="AM17">
        <v>166</v>
      </c>
      <c r="AN17">
        <v>16.04</v>
      </c>
      <c r="AO17">
        <v>2</v>
      </c>
      <c r="AP17">
        <v>17.329999999999998</v>
      </c>
      <c r="AQ17">
        <v>7</v>
      </c>
    </row>
    <row r="18" spans="1:43" x14ac:dyDescent="0.2">
      <c r="A18" t="s">
        <v>1782</v>
      </c>
      <c r="B18">
        <v>2026</v>
      </c>
      <c r="C18" t="s">
        <v>311</v>
      </c>
      <c r="D18">
        <v>0</v>
      </c>
      <c r="E18" t="s">
        <v>881</v>
      </c>
      <c r="F18" t="s">
        <v>1799</v>
      </c>
      <c r="G18">
        <v>23</v>
      </c>
      <c r="H18">
        <v>10</v>
      </c>
      <c r="I18">
        <v>25.509799999999998</v>
      </c>
      <c r="J18">
        <v>17</v>
      </c>
      <c r="K18">
        <v>0.9335</v>
      </c>
      <c r="L18">
        <v>18</v>
      </c>
      <c r="M18">
        <v>124.279</v>
      </c>
      <c r="N18">
        <v>19</v>
      </c>
      <c r="O18">
        <v>119.143</v>
      </c>
      <c r="P18">
        <v>26</v>
      </c>
      <c r="Q18">
        <v>98.768900000000002</v>
      </c>
      <c r="R18">
        <v>26</v>
      </c>
      <c r="S18">
        <v>102.053</v>
      </c>
      <c r="T18">
        <v>47</v>
      </c>
      <c r="U18">
        <v>70.973100000000002</v>
      </c>
      <c r="V18">
        <v>56</v>
      </c>
      <c r="W18">
        <v>69.685299999999998</v>
      </c>
      <c r="X18">
        <v>63</v>
      </c>
      <c r="Y18">
        <v>-2.0299999999999999E-2</v>
      </c>
      <c r="Z18">
        <v>240</v>
      </c>
      <c r="AA18">
        <v>12.5726</v>
      </c>
      <c r="AB18">
        <v>27</v>
      </c>
      <c r="AC18">
        <v>116.01300000000001</v>
      </c>
      <c r="AD18">
        <v>38</v>
      </c>
      <c r="AE18">
        <v>103.441</v>
      </c>
      <c r="AF18">
        <v>17</v>
      </c>
      <c r="AG18">
        <v>2.3473000000000002</v>
      </c>
      <c r="AH18">
        <v>117</v>
      </c>
      <c r="AJ18">
        <v>15.79</v>
      </c>
      <c r="AK18">
        <v>19</v>
      </c>
      <c r="AL18">
        <v>17.920000000000002</v>
      </c>
      <c r="AM18">
        <v>274</v>
      </c>
      <c r="AN18">
        <v>16.309999999999999</v>
      </c>
      <c r="AO18">
        <v>1</v>
      </c>
      <c r="AP18">
        <v>17.87</v>
      </c>
      <c r="AQ18">
        <v>11</v>
      </c>
    </row>
    <row r="19" spans="1:43" x14ac:dyDescent="0.2">
      <c r="A19" t="s">
        <v>1782</v>
      </c>
      <c r="B19">
        <v>2026</v>
      </c>
      <c r="C19" t="s">
        <v>271</v>
      </c>
      <c r="D19">
        <v>0</v>
      </c>
      <c r="E19" t="s">
        <v>885</v>
      </c>
      <c r="F19" t="s">
        <v>1800</v>
      </c>
      <c r="G19">
        <v>23</v>
      </c>
      <c r="H19">
        <v>9</v>
      </c>
      <c r="I19">
        <v>25.448</v>
      </c>
      <c r="J19">
        <v>18</v>
      </c>
      <c r="K19">
        <v>0.94030000000000002</v>
      </c>
      <c r="L19">
        <v>14</v>
      </c>
      <c r="M19">
        <v>119.39</v>
      </c>
      <c r="N19">
        <v>53</v>
      </c>
      <c r="O19">
        <v>110.747</v>
      </c>
      <c r="P19">
        <v>128</v>
      </c>
      <c r="Q19">
        <v>93.941699999999997</v>
      </c>
      <c r="R19">
        <v>10</v>
      </c>
      <c r="S19">
        <v>100.324</v>
      </c>
      <c r="T19">
        <v>33</v>
      </c>
      <c r="U19">
        <v>68.496700000000004</v>
      </c>
      <c r="V19">
        <v>175</v>
      </c>
      <c r="W19">
        <v>67.809899999999999</v>
      </c>
      <c r="X19">
        <v>155</v>
      </c>
      <c r="Y19">
        <v>4.6300000000000001E-2</v>
      </c>
      <c r="Z19">
        <v>66</v>
      </c>
      <c r="AA19">
        <v>16.417999999999999</v>
      </c>
      <c r="AB19">
        <v>3</v>
      </c>
      <c r="AC19">
        <v>117.815</v>
      </c>
      <c r="AD19">
        <v>12</v>
      </c>
      <c r="AE19">
        <v>101.39700000000001</v>
      </c>
      <c r="AF19">
        <v>1</v>
      </c>
      <c r="AG19">
        <v>11.1709</v>
      </c>
      <c r="AH19">
        <v>14</v>
      </c>
      <c r="AJ19">
        <v>17.190000000000001</v>
      </c>
      <c r="AK19">
        <v>132</v>
      </c>
      <c r="AL19">
        <v>17.8</v>
      </c>
      <c r="AM19">
        <v>247</v>
      </c>
      <c r="AN19">
        <v>17.12</v>
      </c>
      <c r="AO19">
        <v>7</v>
      </c>
      <c r="AP19">
        <v>17.670000000000002</v>
      </c>
      <c r="AQ19">
        <v>10</v>
      </c>
    </row>
    <row r="20" spans="1:43" x14ac:dyDescent="0.2">
      <c r="A20" t="s">
        <v>1782</v>
      </c>
      <c r="B20">
        <v>2026</v>
      </c>
      <c r="C20" t="s">
        <v>683</v>
      </c>
      <c r="D20">
        <v>0</v>
      </c>
      <c r="E20" t="s">
        <v>881</v>
      </c>
      <c r="F20" t="s">
        <v>1801</v>
      </c>
      <c r="G20">
        <v>28</v>
      </c>
      <c r="H20">
        <v>4</v>
      </c>
      <c r="I20">
        <v>25.377600000000001</v>
      </c>
      <c r="J20">
        <v>19</v>
      </c>
      <c r="K20">
        <v>0.93669999999999998</v>
      </c>
      <c r="L20">
        <v>16</v>
      </c>
      <c r="M20">
        <v>121.51900000000001</v>
      </c>
      <c r="N20">
        <v>34</v>
      </c>
      <c r="O20">
        <v>119.15600000000001</v>
      </c>
      <c r="P20">
        <v>25</v>
      </c>
      <c r="Q20">
        <v>96.141900000000007</v>
      </c>
      <c r="R20">
        <v>16</v>
      </c>
      <c r="S20">
        <v>100.514</v>
      </c>
      <c r="T20">
        <v>35</v>
      </c>
      <c r="U20">
        <v>66.732299999999995</v>
      </c>
      <c r="V20">
        <v>254</v>
      </c>
      <c r="W20">
        <v>65.895200000000003</v>
      </c>
      <c r="X20">
        <v>261</v>
      </c>
      <c r="Y20">
        <v>7.5499999999999998E-2</v>
      </c>
      <c r="Z20">
        <v>27</v>
      </c>
      <c r="AA20">
        <v>8.7224000000000004</v>
      </c>
      <c r="AB20">
        <v>73</v>
      </c>
      <c r="AC20">
        <v>115.075</v>
      </c>
      <c r="AD20">
        <v>61</v>
      </c>
      <c r="AE20">
        <v>106.352</v>
      </c>
      <c r="AF20">
        <v>85</v>
      </c>
      <c r="AG20">
        <v>-3.3696000000000002</v>
      </c>
      <c r="AH20">
        <v>276</v>
      </c>
      <c r="AJ20">
        <v>17.23</v>
      </c>
      <c r="AK20">
        <v>139</v>
      </c>
      <c r="AL20">
        <v>18.62</v>
      </c>
      <c r="AM20">
        <v>353</v>
      </c>
      <c r="AN20">
        <v>17.829999999999998</v>
      </c>
      <c r="AO20">
        <v>10</v>
      </c>
      <c r="AP20">
        <v>18.350000000000001</v>
      </c>
      <c r="AQ20">
        <v>17</v>
      </c>
    </row>
    <row r="21" spans="1:43" x14ac:dyDescent="0.2">
      <c r="A21" t="s">
        <v>1782</v>
      </c>
      <c r="B21">
        <v>2026</v>
      </c>
      <c r="C21" t="s">
        <v>607</v>
      </c>
      <c r="D21">
        <v>0</v>
      </c>
      <c r="E21" t="s">
        <v>885</v>
      </c>
      <c r="F21" t="s">
        <v>1802</v>
      </c>
      <c r="G21">
        <v>22</v>
      </c>
      <c r="H21">
        <v>10</v>
      </c>
      <c r="I21">
        <v>25.141200000000001</v>
      </c>
      <c r="J21">
        <v>20</v>
      </c>
      <c r="K21">
        <v>0.92930000000000001</v>
      </c>
      <c r="L21">
        <v>21</v>
      </c>
      <c r="M21">
        <v>125.254</v>
      </c>
      <c r="N21">
        <v>12</v>
      </c>
      <c r="O21">
        <v>117.79300000000001</v>
      </c>
      <c r="P21">
        <v>40</v>
      </c>
      <c r="Q21">
        <v>100.113</v>
      </c>
      <c r="R21">
        <v>33</v>
      </c>
      <c r="S21">
        <v>106.797</v>
      </c>
      <c r="T21">
        <v>132</v>
      </c>
      <c r="U21">
        <v>67.959900000000005</v>
      </c>
      <c r="V21">
        <v>203</v>
      </c>
      <c r="W21">
        <v>66.190600000000003</v>
      </c>
      <c r="X21">
        <v>245</v>
      </c>
      <c r="Y21">
        <v>6.4999999999999997E-3</v>
      </c>
      <c r="Z21">
        <v>175</v>
      </c>
      <c r="AA21">
        <v>15.5784</v>
      </c>
      <c r="AB21">
        <v>5</v>
      </c>
      <c r="AC21">
        <v>118.372</v>
      </c>
      <c r="AD21">
        <v>8</v>
      </c>
      <c r="AE21">
        <v>102.794</v>
      </c>
      <c r="AF21">
        <v>4</v>
      </c>
      <c r="AG21">
        <v>7.7342000000000004</v>
      </c>
      <c r="AH21">
        <v>33</v>
      </c>
      <c r="AJ21">
        <v>18.05</v>
      </c>
      <c r="AK21">
        <v>244</v>
      </c>
      <c r="AL21">
        <v>17.28</v>
      </c>
      <c r="AM21">
        <v>120</v>
      </c>
      <c r="AN21">
        <v>18.54</v>
      </c>
      <c r="AO21">
        <v>14</v>
      </c>
      <c r="AP21">
        <v>17.41</v>
      </c>
      <c r="AQ21">
        <v>7</v>
      </c>
    </row>
    <row r="22" spans="1:43" x14ac:dyDescent="0.2">
      <c r="A22" t="s">
        <v>1782</v>
      </c>
      <c r="B22">
        <v>2026</v>
      </c>
      <c r="C22" t="s">
        <v>567</v>
      </c>
      <c r="D22">
        <v>0</v>
      </c>
      <c r="E22" t="s">
        <v>894</v>
      </c>
      <c r="F22" t="s">
        <v>1803</v>
      </c>
      <c r="G22">
        <v>26</v>
      </c>
      <c r="H22">
        <v>6</v>
      </c>
      <c r="I22">
        <v>24.667999999999999</v>
      </c>
      <c r="J22">
        <v>21</v>
      </c>
      <c r="K22">
        <v>0.9345</v>
      </c>
      <c r="L22">
        <v>17</v>
      </c>
      <c r="M22">
        <v>119.55200000000001</v>
      </c>
      <c r="N22">
        <v>52</v>
      </c>
      <c r="O22">
        <v>114.18600000000001</v>
      </c>
      <c r="P22">
        <v>71</v>
      </c>
      <c r="Q22">
        <v>94.884100000000004</v>
      </c>
      <c r="R22">
        <v>15</v>
      </c>
      <c r="S22">
        <v>98.958100000000002</v>
      </c>
      <c r="T22">
        <v>22</v>
      </c>
      <c r="U22">
        <v>71.373900000000006</v>
      </c>
      <c r="V22">
        <v>42</v>
      </c>
      <c r="W22">
        <v>69.755300000000005</v>
      </c>
      <c r="X22">
        <v>60</v>
      </c>
      <c r="Y22">
        <v>6.1899999999999997E-2</v>
      </c>
      <c r="Z22">
        <v>44</v>
      </c>
      <c r="AA22">
        <v>11.0115</v>
      </c>
      <c r="AB22">
        <v>51</v>
      </c>
      <c r="AC22">
        <v>115.298</v>
      </c>
      <c r="AD22">
        <v>53</v>
      </c>
      <c r="AE22">
        <v>104.286</v>
      </c>
      <c r="AF22">
        <v>42</v>
      </c>
      <c r="AG22">
        <v>6.4752999999999998</v>
      </c>
      <c r="AH22">
        <v>44</v>
      </c>
      <c r="AJ22">
        <v>16.07</v>
      </c>
      <c r="AK22">
        <v>33</v>
      </c>
      <c r="AL22">
        <v>17.68</v>
      </c>
      <c r="AM22">
        <v>222</v>
      </c>
      <c r="AN22">
        <v>16.579999999999998</v>
      </c>
      <c r="AO22">
        <v>3</v>
      </c>
      <c r="AP22">
        <v>17.95</v>
      </c>
      <c r="AQ22">
        <v>8</v>
      </c>
    </row>
    <row r="23" spans="1:43" x14ac:dyDescent="0.2">
      <c r="A23" t="s">
        <v>1782</v>
      </c>
      <c r="B23">
        <v>2026</v>
      </c>
      <c r="C23" t="s">
        <v>41</v>
      </c>
      <c r="D23">
        <v>0</v>
      </c>
      <c r="E23" t="s">
        <v>885</v>
      </c>
      <c r="F23" t="s">
        <v>1804</v>
      </c>
      <c r="G23">
        <v>23</v>
      </c>
      <c r="H23">
        <v>11</v>
      </c>
      <c r="I23">
        <v>23.206299999999999</v>
      </c>
      <c r="J23">
        <v>22</v>
      </c>
      <c r="K23">
        <v>0.91279999999999994</v>
      </c>
      <c r="L23">
        <v>23</v>
      </c>
      <c r="M23">
        <v>125.62</v>
      </c>
      <c r="N23">
        <v>11</v>
      </c>
      <c r="O23">
        <v>118.624</v>
      </c>
      <c r="P23">
        <v>32</v>
      </c>
      <c r="Q23">
        <v>102.414</v>
      </c>
      <c r="R23">
        <v>53</v>
      </c>
      <c r="S23">
        <v>106.691</v>
      </c>
      <c r="T23">
        <v>130</v>
      </c>
      <c r="U23">
        <v>70.442800000000005</v>
      </c>
      <c r="V23">
        <v>78</v>
      </c>
      <c r="W23">
        <v>69.931299999999993</v>
      </c>
      <c r="X23">
        <v>49</v>
      </c>
      <c r="Y23">
        <v>-1.7500000000000002E-2</v>
      </c>
      <c r="Z23">
        <v>230</v>
      </c>
      <c r="AA23">
        <v>14.237500000000001</v>
      </c>
      <c r="AB23">
        <v>12</v>
      </c>
      <c r="AC23">
        <v>116.38500000000001</v>
      </c>
      <c r="AD23">
        <v>32</v>
      </c>
      <c r="AE23">
        <v>102.148</v>
      </c>
      <c r="AF23">
        <v>3</v>
      </c>
      <c r="AG23">
        <v>4.8342000000000001</v>
      </c>
      <c r="AH23">
        <v>73</v>
      </c>
      <c r="AJ23">
        <v>15.93</v>
      </c>
      <c r="AK23">
        <v>25</v>
      </c>
      <c r="AL23">
        <v>17.920000000000002</v>
      </c>
      <c r="AM23">
        <v>272</v>
      </c>
      <c r="AN23">
        <v>16.25</v>
      </c>
      <c r="AO23">
        <v>2</v>
      </c>
      <c r="AP23">
        <v>17.77</v>
      </c>
      <c r="AQ23">
        <v>11</v>
      </c>
    </row>
    <row r="24" spans="1:43" x14ac:dyDescent="0.2">
      <c r="A24" t="s">
        <v>1782</v>
      </c>
      <c r="B24">
        <v>2026</v>
      </c>
      <c r="C24" t="s">
        <v>515</v>
      </c>
      <c r="D24">
        <v>0</v>
      </c>
      <c r="E24" t="s">
        <v>896</v>
      </c>
      <c r="F24" t="s">
        <v>1805</v>
      </c>
      <c r="G24">
        <v>27</v>
      </c>
      <c r="H24">
        <v>5</v>
      </c>
      <c r="I24">
        <v>23.0533</v>
      </c>
      <c r="J24">
        <v>23</v>
      </c>
      <c r="K24">
        <v>0.92010000000000003</v>
      </c>
      <c r="L24">
        <v>22</v>
      </c>
      <c r="M24">
        <v>120.444</v>
      </c>
      <c r="N24">
        <v>41</v>
      </c>
      <c r="O24">
        <v>117.18300000000001</v>
      </c>
      <c r="P24">
        <v>45</v>
      </c>
      <c r="Q24">
        <v>97.391199999999998</v>
      </c>
      <c r="R24">
        <v>20</v>
      </c>
      <c r="S24">
        <v>98.325500000000005</v>
      </c>
      <c r="T24">
        <v>18</v>
      </c>
      <c r="U24">
        <v>66.3613</v>
      </c>
      <c r="V24">
        <v>284</v>
      </c>
      <c r="W24">
        <v>65.165300000000002</v>
      </c>
      <c r="X24">
        <v>297</v>
      </c>
      <c r="Y24">
        <v>1.0699999999999999E-2</v>
      </c>
      <c r="Z24">
        <v>153</v>
      </c>
      <c r="AA24">
        <v>4.9892000000000003</v>
      </c>
      <c r="AB24">
        <v>93</v>
      </c>
      <c r="AC24">
        <v>111.685</v>
      </c>
      <c r="AD24">
        <v>95</v>
      </c>
      <c r="AE24">
        <v>106.69499999999999</v>
      </c>
      <c r="AF24">
        <v>91</v>
      </c>
      <c r="AG24">
        <v>3.8412999999999999</v>
      </c>
      <c r="AH24">
        <v>90</v>
      </c>
      <c r="AJ24">
        <v>18.899999999999999</v>
      </c>
      <c r="AK24">
        <v>324</v>
      </c>
      <c r="AL24">
        <v>17.21</v>
      </c>
      <c r="AM24">
        <v>105</v>
      </c>
      <c r="AN24">
        <v>19.09</v>
      </c>
      <c r="AO24">
        <v>11</v>
      </c>
      <c r="AP24">
        <v>17.5</v>
      </c>
      <c r="AQ24">
        <v>5</v>
      </c>
    </row>
    <row r="25" spans="1:43" x14ac:dyDescent="0.2">
      <c r="A25" t="s">
        <v>1782</v>
      </c>
      <c r="B25">
        <v>2026</v>
      </c>
      <c r="C25" t="s">
        <v>715</v>
      </c>
      <c r="D25">
        <v>0</v>
      </c>
      <c r="E25" t="s">
        <v>883</v>
      </c>
      <c r="F25" t="s">
        <v>1806</v>
      </c>
      <c r="G25">
        <v>23</v>
      </c>
      <c r="H25">
        <v>9</v>
      </c>
      <c r="I25">
        <v>22.494399999999999</v>
      </c>
      <c r="J25">
        <v>24</v>
      </c>
      <c r="K25">
        <v>0.90610000000000002</v>
      </c>
      <c r="L25">
        <v>26</v>
      </c>
      <c r="M25">
        <v>125.715</v>
      </c>
      <c r="N25">
        <v>9</v>
      </c>
      <c r="O25">
        <v>119.607</v>
      </c>
      <c r="P25">
        <v>20</v>
      </c>
      <c r="Q25">
        <v>103.221</v>
      </c>
      <c r="R25">
        <v>62</v>
      </c>
      <c r="S25">
        <v>108.604</v>
      </c>
      <c r="T25">
        <v>180</v>
      </c>
      <c r="U25">
        <v>69.034199999999998</v>
      </c>
      <c r="V25">
        <v>148</v>
      </c>
      <c r="W25">
        <v>68.888800000000003</v>
      </c>
      <c r="X25">
        <v>100</v>
      </c>
      <c r="Y25">
        <v>4.8000000000000001E-2</v>
      </c>
      <c r="Z25">
        <v>60</v>
      </c>
      <c r="AA25">
        <v>12.3779</v>
      </c>
      <c r="AB25">
        <v>30</v>
      </c>
      <c r="AC25">
        <v>116.5</v>
      </c>
      <c r="AD25">
        <v>30</v>
      </c>
      <c r="AE25">
        <v>104.122</v>
      </c>
      <c r="AF25">
        <v>35</v>
      </c>
      <c r="AG25">
        <v>-1.1467000000000001</v>
      </c>
      <c r="AH25">
        <v>220</v>
      </c>
      <c r="AJ25">
        <v>17.14</v>
      </c>
      <c r="AK25">
        <v>123</v>
      </c>
      <c r="AL25">
        <v>17.88</v>
      </c>
      <c r="AM25">
        <v>265</v>
      </c>
      <c r="AN25">
        <v>17.7</v>
      </c>
      <c r="AO25">
        <v>5</v>
      </c>
      <c r="AP25">
        <v>18.16</v>
      </c>
      <c r="AQ25">
        <v>8</v>
      </c>
    </row>
    <row r="26" spans="1:43" x14ac:dyDescent="0.2">
      <c r="A26" t="s">
        <v>1782</v>
      </c>
      <c r="B26">
        <v>2026</v>
      </c>
      <c r="C26" t="s">
        <v>257</v>
      </c>
      <c r="D26">
        <v>0</v>
      </c>
      <c r="E26" t="s">
        <v>883</v>
      </c>
      <c r="F26" t="s">
        <v>1807</v>
      </c>
      <c r="G26">
        <v>21</v>
      </c>
      <c r="H26">
        <v>12</v>
      </c>
      <c r="I26">
        <v>22.359500000000001</v>
      </c>
      <c r="J26">
        <v>25</v>
      </c>
      <c r="K26">
        <v>0.91139999999999999</v>
      </c>
      <c r="L26">
        <v>24</v>
      </c>
      <c r="M26">
        <v>121.851</v>
      </c>
      <c r="N26">
        <v>31</v>
      </c>
      <c r="O26">
        <v>118.167</v>
      </c>
      <c r="P26">
        <v>37</v>
      </c>
      <c r="Q26">
        <v>99.491699999999994</v>
      </c>
      <c r="R26">
        <v>30</v>
      </c>
      <c r="S26">
        <v>103.89100000000001</v>
      </c>
      <c r="T26">
        <v>74</v>
      </c>
      <c r="U26">
        <v>63.389800000000001</v>
      </c>
      <c r="V26">
        <v>363</v>
      </c>
      <c r="W26">
        <v>62.997999999999998</v>
      </c>
      <c r="X26">
        <v>358</v>
      </c>
      <c r="Y26">
        <v>-6.1499999999999999E-2</v>
      </c>
      <c r="Z26">
        <v>329</v>
      </c>
      <c r="AA26">
        <v>11.267799999999999</v>
      </c>
      <c r="AB26">
        <v>44</v>
      </c>
      <c r="AC26">
        <v>115.693</v>
      </c>
      <c r="AD26">
        <v>46</v>
      </c>
      <c r="AE26">
        <v>104.425</v>
      </c>
      <c r="AF26">
        <v>47</v>
      </c>
      <c r="AG26">
        <v>-7.2704000000000004</v>
      </c>
      <c r="AH26">
        <v>336</v>
      </c>
      <c r="AJ26">
        <v>19.63</v>
      </c>
      <c r="AK26">
        <v>359</v>
      </c>
      <c r="AL26">
        <v>18.11</v>
      </c>
      <c r="AM26">
        <v>305</v>
      </c>
      <c r="AN26">
        <v>20.010000000000002</v>
      </c>
      <c r="AO26">
        <v>18</v>
      </c>
      <c r="AP26">
        <v>18.079999999999998</v>
      </c>
      <c r="AQ26">
        <v>6</v>
      </c>
    </row>
    <row r="27" spans="1:43" x14ac:dyDescent="0.2">
      <c r="A27" t="s">
        <v>1782</v>
      </c>
      <c r="B27">
        <v>2026</v>
      </c>
      <c r="C27" t="s">
        <v>441</v>
      </c>
      <c r="D27">
        <v>0</v>
      </c>
      <c r="E27" t="s">
        <v>883</v>
      </c>
      <c r="F27" t="s">
        <v>1808</v>
      </c>
      <c r="G27">
        <v>21</v>
      </c>
      <c r="H27">
        <v>11</v>
      </c>
      <c r="I27">
        <v>21.8597</v>
      </c>
      <c r="J27">
        <v>26</v>
      </c>
      <c r="K27">
        <v>0.90180000000000005</v>
      </c>
      <c r="L27">
        <v>28</v>
      </c>
      <c r="M27">
        <v>124.63</v>
      </c>
      <c r="N27">
        <v>16</v>
      </c>
      <c r="O27">
        <v>118.833</v>
      </c>
      <c r="P27">
        <v>29</v>
      </c>
      <c r="Q27">
        <v>102.77</v>
      </c>
      <c r="R27">
        <v>57</v>
      </c>
      <c r="S27">
        <v>108.334</v>
      </c>
      <c r="T27">
        <v>174</v>
      </c>
      <c r="U27">
        <v>66.567800000000005</v>
      </c>
      <c r="V27">
        <v>268</v>
      </c>
      <c r="W27">
        <v>66.154399999999995</v>
      </c>
      <c r="X27">
        <v>248</v>
      </c>
      <c r="Y27">
        <v>-1.7999999999999999E-2</v>
      </c>
      <c r="Z27">
        <v>232</v>
      </c>
      <c r="AA27">
        <v>12.7669</v>
      </c>
      <c r="AB27">
        <v>26</v>
      </c>
      <c r="AC27">
        <v>116.44</v>
      </c>
      <c r="AD27">
        <v>31</v>
      </c>
      <c r="AE27">
        <v>103.673</v>
      </c>
      <c r="AF27">
        <v>21</v>
      </c>
      <c r="AG27">
        <v>-1.9001999999999999</v>
      </c>
      <c r="AH27">
        <v>237</v>
      </c>
      <c r="AJ27">
        <v>17.850000000000001</v>
      </c>
      <c r="AK27">
        <v>220</v>
      </c>
      <c r="AL27">
        <v>18.21</v>
      </c>
      <c r="AM27">
        <v>321</v>
      </c>
      <c r="AN27">
        <v>18.45</v>
      </c>
      <c r="AO27">
        <v>9</v>
      </c>
      <c r="AP27">
        <v>18.23</v>
      </c>
      <c r="AQ27">
        <v>10</v>
      </c>
    </row>
    <row r="28" spans="1:43" x14ac:dyDescent="0.2">
      <c r="A28" t="s">
        <v>1782</v>
      </c>
      <c r="B28">
        <v>2026</v>
      </c>
      <c r="C28" t="s">
        <v>345</v>
      </c>
      <c r="D28">
        <v>0</v>
      </c>
      <c r="E28" t="s">
        <v>881</v>
      </c>
      <c r="F28" t="s">
        <v>1809</v>
      </c>
      <c r="G28">
        <v>25</v>
      </c>
      <c r="H28">
        <v>7</v>
      </c>
      <c r="I28">
        <v>21.829799999999999</v>
      </c>
      <c r="J28">
        <v>27</v>
      </c>
      <c r="K28">
        <v>0.90639999999999998</v>
      </c>
      <c r="L28">
        <v>25</v>
      </c>
      <c r="M28">
        <v>121.84</v>
      </c>
      <c r="N28">
        <v>32</v>
      </c>
      <c r="O28">
        <v>118.539</v>
      </c>
      <c r="P28">
        <v>33</v>
      </c>
      <c r="Q28">
        <v>100.01</v>
      </c>
      <c r="R28">
        <v>32</v>
      </c>
      <c r="S28">
        <v>102.15</v>
      </c>
      <c r="T28">
        <v>50</v>
      </c>
      <c r="U28">
        <v>69.553100000000001</v>
      </c>
      <c r="V28">
        <v>118</v>
      </c>
      <c r="W28">
        <v>67.704300000000003</v>
      </c>
      <c r="X28">
        <v>159</v>
      </c>
      <c r="Y28">
        <v>8.6E-3</v>
      </c>
      <c r="Z28">
        <v>166</v>
      </c>
      <c r="AA28">
        <v>7.2709000000000001</v>
      </c>
      <c r="AB28">
        <v>78</v>
      </c>
      <c r="AC28">
        <v>113.48099999999999</v>
      </c>
      <c r="AD28">
        <v>79</v>
      </c>
      <c r="AE28">
        <v>106.21</v>
      </c>
      <c r="AF28">
        <v>80</v>
      </c>
      <c r="AG28">
        <v>-7.3535000000000004</v>
      </c>
      <c r="AH28">
        <v>339</v>
      </c>
      <c r="AJ28">
        <v>16.96</v>
      </c>
      <c r="AK28">
        <v>101</v>
      </c>
      <c r="AL28">
        <v>17.670000000000002</v>
      </c>
      <c r="AM28">
        <v>221</v>
      </c>
      <c r="AN28">
        <v>17.82</v>
      </c>
      <c r="AO28">
        <v>9</v>
      </c>
      <c r="AP28">
        <v>17.739999999999998</v>
      </c>
      <c r="AQ28">
        <v>10</v>
      </c>
    </row>
    <row r="29" spans="1:43" x14ac:dyDescent="0.2">
      <c r="A29" t="s">
        <v>1782</v>
      </c>
      <c r="B29">
        <v>2026</v>
      </c>
      <c r="C29" t="s">
        <v>279</v>
      </c>
      <c r="D29">
        <v>0</v>
      </c>
      <c r="E29" t="s">
        <v>887</v>
      </c>
      <c r="F29" t="s">
        <v>1810</v>
      </c>
      <c r="G29">
        <v>21</v>
      </c>
      <c r="H29">
        <v>12</v>
      </c>
      <c r="I29">
        <v>21.440799999999999</v>
      </c>
      <c r="J29">
        <v>28</v>
      </c>
      <c r="K29">
        <v>0.90329999999999999</v>
      </c>
      <c r="L29">
        <v>27</v>
      </c>
      <c r="M29">
        <v>121.423</v>
      </c>
      <c r="N29">
        <v>35</v>
      </c>
      <c r="O29">
        <v>116.718</v>
      </c>
      <c r="P29">
        <v>50</v>
      </c>
      <c r="Q29">
        <v>99.981700000000004</v>
      </c>
      <c r="R29">
        <v>31</v>
      </c>
      <c r="S29">
        <v>106.107</v>
      </c>
      <c r="T29">
        <v>111</v>
      </c>
      <c r="U29">
        <v>69.695800000000006</v>
      </c>
      <c r="V29">
        <v>108</v>
      </c>
      <c r="W29">
        <v>68.248599999999996</v>
      </c>
      <c r="X29">
        <v>128</v>
      </c>
      <c r="Y29">
        <v>-7.4000000000000003E-3</v>
      </c>
      <c r="Z29">
        <v>212</v>
      </c>
      <c r="AA29">
        <v>15.202</v>
      </c>
      <c r="AB29">
        <v>7</v>
      </c>
      <c r="AC29">
        <v>118.84</v>
      </c>
      <c r="AD29">
        <v>5</v>
      </c>
      <c r="AE29">
        <v>103.63800000000001</v>
      </c>
      <c r="AF29">
        <v>20</v>
      </c>
      <c r="AG29">
        <v>1.2497</v>
      </c>
      <c r="AH29">
        <v>143</v>
      </c>
      <c r="AJ29">
        <v>16.57</v>
      </c>
      <c r="AK29">
        <v>64</v>
      </c>
      <c r="AL29">
        <v>17.850000000000001</v>
      </c>
      <c r="AM29">
        <v>259</v>
      </c>
      <c r="AN29">
        <v>17.3</v>
      </c>
      <c r="AO29">
        <v>8</v>
      </c>
      <c r="AP29">
        <v>17.55</v>
      </c>
      <c r="AQ29">
        <v>9</v>
      </c>
    </row>
    <row r="30" spans="1:43" x14ac:dyDescent="0.2">
      <c r="A30" t="s">
        <v>1782</v>
      </c>
      <c r="B30">
        <v>2026</v>
      </c>
      <c r="C30" t="s">
        <v>635</v>
      </c>
      <c r="D30">
        <v>0</v>
      </c>
      <c r="E30" t="s">
        <v>883</v>
      </c>
      <c r="F30" t="s">
        <v>1811</v>
      </c>
      <c r="G30">
        <v>22</v>
      </c>
      <c r="H30">
        <v>10</v>
      </c>
      <c r="I30">
        <v>21.296500000000002</v>
      </c>
      <c r="J30">
        <v>29</v>
      </c>
      <c r="K30">
        <v>0.89880000000000004</v>
      </c>
      <c r="L30">
        <v>29</v>
      </c>
      <c r="M30">
        <v>123.13800000000001</v>
      </c>
      <c r="N30">
        <v>24</v>
      </c>
      <c r="O30">
        <v>116.816</v>
      </c>
      <c r="P30">
        <v>48</v>
      </c>
      <c r="Q30">
        <v>101.842</v>
      </c>
      <c r="R30">
        <v>44</v>
      </c>
      <c r="S30">
        <v>106.122</v>
      </c>
      <c r="T30">
        <v>113</v>
      </c>
      <c r="U30">
        <v>65.832300000000004</v>
      </c>
      <c r="V30">
        <v>303</v>
      </c>
      <c r="W30">
        <v>64.599500000000006</v>
      </c>
      <c r="X30">
        <v>325</v>
      </c>
      <c r="Y30">
        <v>1.8800000000000001E-2</v>
      </c>
      <c r="Z30">
        <v>131</v>
      </c>
      <c r="AA30">
        <v>10.866199999999999</v>
      </c>
      <c r="AB30">
        <v>56</v>
      </c>
      <c r="AC30">
        <v>115.426</v>
      </c>
      <c r="AD30">
        <v>50</v>
      </c>
      <c r="AE30">
        <v>104.56</v>
      </c>
      <c r="AF30">
        <v>51</v>
      </c>
      <c r="AG30">
        <v>-2.1873999999999998</v>
      </c>
      <c r="AH30">
        <v>248</v>
      </c>
      <c r="AJ30">
        <v>18.16</v>
      </c>
      <c r="AK30">
        <v>252</v>
      </c>
      <c r="AL30">
        <v>18.579999999999998</v>
      </c>
      <c r="AM30">
        <v>352</v>
      </c>
      <c r="AN30">
        <v>18.89</v>
      </c>
      <c r="AO30">
        <v>12</v>
      </c>
      <c r="AP30">
        <v>19.12</v>
      </c>
      <c r="AQ30">
        <v>17</v>
      </c>
    </row>
    <row r="31" spans="1:43" x14ac:dyDescent="0.2">
      <c r="A31" t="s">
        <v>1782</v>
      </c>
      <c r="B31">
        <v>2026</v>
      </c>
      <c r="C31" t="s">
        <v>409</v>
      </c>
      <c r="D31">
        <v>0</v>
      </c>
      <c r="E31" t="s">
        <v>881</v>
      </c>
      <c r="F31" t="s">
        <v>1812</v>
      </c>
      <c r="G31">
        <v>24</v>
      </c>
      <c r="H31">
        <v>8</v>
      </c>
      <c r="I31">
        <v>20.924399999999999</v>
      </c>
      <c r="J31">
        <v>30</v>
      </c>
      <c r="K31">
        <v>0.89770000000000005</v>
      </c>
      <c r="L31">
        <v>30</v>
      </c>
      <c r="M31">
        <v>121.59</v>
      </c>
      <c r="N31">
        <v>33</v>
      </c>
      <c r="O31">
        <v>115.736</v>
      </c>
      <c r="P31">
        <v>54</v>
      </c>
      <c r="Q31">
        <v>100.66500000000001</v>
      </c>
      <c r="R31">
        <v>37</v>
      </c>
      <c r="S31">
        <v>104.018</v>
      </c>
      <c r="T31">
        <v>76</v>
      </c>
      <c r="U31">
        <v>68.785200000000003</v>
      </c>
      <c r="V31">
        <v>162</v>
      </c>
      <c r="W31">
        <v>67.938500000000005</v>
      </c>
      <c r="X31">
        <v>144</v>
      </c>
      <c r="Y31">
        <v>5.7299999999999997E-2</v>
      </c>
      <c r="Z31">
        <v>49</v>
      </c>
      <c r="AA31">
        <v>11.515700000000001</v>
      </c>
      <c r="AB31">
        <v>40</v>
      </c>
      <c r="AC31">
        <v>115.583</v>
      </c>
      <c r="AD31">
        <v>47</v>
      </c>
      <c r="AE31">
        <v>104.06699999999999</v>
      </c>
      <c r="AF31">
        <v>33</v>
      </c>
      <c r="AG31">
        <v>1.3713</v>
      </c>
      <c r="AH31">
        <v>139</v>
      </c>
      <c r="AJ31">
        <v>16.79</v>
      </c>
      <c r="AK31">
        <v>83</v>
      </c>
      <c r="AL31">
        <v>18.07</v>
      </c>
      <c r="AM31">
        <v>301</v>
      </c>
      <c r="AN31">
        <v>17.329999999999998</v>
      </c>
      <c r="AO31">
        <v>7</v>
      </c>
      <c r="AP31">
        <v>17.72</v>
      </c>
      <c r="AQ31">
        <v>9</v>
      </c>
    </row>
    <row r="32" spans="1:43" x14ac:dyDescent="0.2">
      <c r="A32" t="s">
        <v>1782</v>
      </c>
      <c r="B32">
        <v>2026</v>
      </c>
      <c r="C32" t="s">
        <v>203</v>
      </c>
      <c r="D32">
        <v>0</v>
      </c>
      <c r="E32" t="s">
        <v>887</v>
      </c>
      <c r="F32" t="s">
        <v>1813</v>
      </c>
      <c r="G32">
        <v>22</v>
      </c>
      <c r="H32">
        <v>10</v>
      </c>
      <c r="I32">
        <v>20.495899999999999</v>
      </c>
      <c r="J32">
        <v>31</v>
      </c>
      <c r="K32">
        <v>0.88719999999999999</v>
      </c>
      <c r="L32">
        <v>33</v>
      </c>
      <c r="M32">
        <v>124.84699999999999</v>
      </c>
      <c r="N32">
        <v>15</v>
      </c>
      <c r="O32">
        <v>120.483</v>
      </c>
      <c r="P32">
        <v>16</v>
      </c>
      <c r="Q32">
        <v>104.351</v>
      </c>
      <c r="R32">
        <v>82</v>
      </c>
      <c r="S32">
        <v>106.89</v>
      </c>
      <c r="T32">
        <v>136</v>
      </c>
      <c r="U32">
        <v>73.478999999999999</v>
      </c>
      <c r="V32">
        <v>9</v>
      </c>
      <c r="W32">
        <v>71.394400000000005</v>
      </c>
      <c r="X32">
        <v>20</v>
      </c>
      <c r="Y32">
        <v>-5.1999999999999998E-3</v>
      </c>
      <c r="Z32">
        <v>201</v>
      </c>
      <c r="AA32">
        <v>10.7157</v>
      </c>
      <c r="AB32">
        <v>62</v>
      </c>
      <c r="AC32">
        <v>116.117</v>
      </c>
      <c r="AD32">
        <v>36</v>
      </c>
      <c r="AE32">
        <v>105.401</v>
      </c>
      <c r="AF32">
        <v>69</v>
      </c>
      <c r="AG32">
        <v>-6.4615999999999998</v>
      </c>
      <c r="AH32">
        <v>326</v>
      </c>
      <c r="AJ32">
        <v>15.38</v>
      </c>
      <c r="AK32">
        <v>9</v>
      </c>
      <c r="AL32">
        <v>17.46</v>
      </c>
      <c r="AM32">
        <v>161</v>
      </c>
      <c r="AN32">
        <v>16.48</v>
      </c>
      <c r="AO32">
        <v>4</v>
      </c>
      <c r="AP32">
        <v>18</v>
      </c>
      <c r="AQ32">
        <v>15</v>
      </c>
    </row>
    <row r="33" spans="1:43" x14ac:dyDescent="0.2">
      <c r="A33" t="s">
        <v>1782</v>
      </c>
      <c r="B33">
        <v>2026</v>
      </c>
      <c r="C33" t="s">
        <v>663</v>
      </c>
      <c r="D33">
        <v>0</v>
      </c>
      <c r="E33" t="s">
        <v>918</v>
      </c>
      <c r="F33" t="s">
        <v>1814</v>
      </c>
      <c r="G33">
        <v>26</v>
      </c>
      <c r="H33">
        <v>6</v>
      </c>
      <c r="I33">
        <v>20.047000000000001</v>
      </c>
      <c r="J33">
        <v>32</v>
      </c>
      <c r="K33">
        <v>0.88629999999999998</v>
      </c>
      <c r="L33">
        <v>34</v>
      </c>
      <c r="M33">
        <v>122.589</v>
      </c>
      <c r="N33">
        <v>28</v>
      </c>
      <c r="O33">
        <v>120.19199999999999</v>
      </c>
      <c r="P33">
        <v>17</v>
      </c>
      <c r="Q33">
        <v>102.542</v>
      </c>
      <c r="R33">
        <v>54</v>
      </c>
      <c r="S33">
        <v>104.07</v>
      </c>
      <c r="T33">
        <v>77</v>
      </c>
      <c r="U33">
        <v>68.27</v>
      </c>
      <c r="V33">
        <v>191</v>
      </c>
      <c r="W33">
        <v>67.588300000000004</v>
      </c>
      <c r="X33">
        <v>168</v>
      </c>
      <c r="Y33">
        <v>6.0900000000000003E-2</v>
      </c>
      <c r="Z33">
        <v>46</v>
      </c>
      <c r="AA33">
        <v>6.6544999999999996</v>
      </c>
      <c r="AB33">
        <v>81</v>
      </c>
      <c r="AC33">
        <v>112.883</v>
      </c>
      <c r="AD33">
        <v>83</v>
      </c>
      <c r="AE33">
        <v>106.229</v>
      </c>
      <c r="AF33">
        <v>82</v>
      </c>
      <c r="AG33">
        <v>1.9026000000000001</v>
      </c>
      <c r="AH33">
        <v>128</v>
      </c>
      <c r="AJ33">
        <v>16.829999999999998</v>
      </c>
      <c r="AK33">
        <v>87</v>
      </c>
      <c r="AL33">
        <v>18.27</v>
      </c>
      <c r="AM33">
        <v>332</v>
      </c>
      <c r="AN33">
        <v>17.07</v>
      </c>
      <c r="AO33">
        <v>3</v>
      </c>
      <c r="AP33">
        <v>18.52</v>
      </c>
      <c r="AQ33">
        <v>11</v>
      </c>
    </row>
    <row r="34" spans="1:43" x14ac:dyDescent="0.2">
      <c r="A34" t="s">
        <v>1782</v>
      </c>
      <c r="B34">
        <v>2026</v>
      </c>
      <c r="C34" t="s">
        <v>681</v>
      </c>
      <c r="D34">
        <v>0</v>
      </c>
      <c r="E34" t="s">
        <v>894</v>
      </c>
      <c r="F34" t="s">
        <v>1815</v>
      </c>
      <c r="G34">
        <v>24</v>
      </c>
      <c r="H34">
        <v>8</v>
      </c>
      <c r="I34">
        <v>19.9343</v>
      </c>
      <c r="J34">
        <v>33</v>
      </c>
      <c r="K34">
        <v>0.8891</v>
      </c>
      <c r="L34">
        <v>32</v>
      </c>
      <c r="M34">
        <v>120.408</v>
      </c>
      <c r="N34">
        <v>42</v>
      </c>
      <c r="O34">
        <v>115.08499999999999</v>
      </c>
      <c r="P34">
        <v>62</v>
      </c>
      <c r="Q34">
        <v>100.474</v>
      </c>
      <c r="R34">
        <v>35</v>
      </c>
      <c r="S34">
        <v>105.08499999999999</v>
      </c>
      <c r="T34">
        <v>97</v>
      </c>
      <c r="U34">
        <v>66.486400000000003</v>
      </c>
      <c r="V34">
        <v>278</v>
      </c>
      <c r="W34">
        <v>65.179500000000004</v>
      </c>
      <c r="X34">
        <v>296</v>
      </c>
      <c r="Y34">
        <v>6.7000000000000004E-2</v>
      </c>
      <c r="Z34">
        <v>35</v>
      </c>
      <c r="AA34">
        <v>10.3103</v>
      </c>
      <c r="AB34">
        <v>66</v>
      </c>
      <c r="AC34">
        <v>114.958</v>
      </c>
      <c r="AD34">
        <v>65</v>
      </c>
      <c r="AE34">
        <v>104.648</v>
      </c>
      <c r="AF34">
        <v>54</v>
      </c>
      <c r="AG34">
        <v>2.6880999999999999</v>
      </c>
      <c r="AH34">
        <v>112</v>
      </c>
      <c r="AJ34">
        <v>18.309999999999999</v>
      </c>
      <c r="AK34">
        <v>269</v>
      </c>
      <c r="AL34">
        <v>17.61</v>
      </c>
      <c r="AM34">
        <v>203</v>
      </c>
      <c r="AN34">
        <v>18.2</v>
      </c>
      <c r="AO34">
        <v>9</v>
      </c>
      <c r="AP34">
        <v>17.38</v>
      </c>
      <c r="AQ34">
        <v>6</v>
      </c>
    </row>
    <row r="35" spans="1:43" x14ac:dyDescent="0.2">
      <c r="A35" t="s">
        <v>1782</v>
      </c>
      <c r="B35">
        <v>2026</v>
      </c>
      <c r="C35" t="s">
        <v>381</v>
      </c>
      <c r="D35">
        <v>0</v>
      </c>
      <c r="E35" t="s">
        <v>881</v>
      </c>
      <c r="F35" t="s">
        <v>1816</v>
      </c>
      <c r="G35">
        <v>20</v>
      </c>
      <c r="H35">
        <v>13</v>
      </c>
      <c r="I35">
        <v>19.527000000000001</v>
      </c>
      <c r="J35">
        <v>34</v>
      </c>
      <c r="K35">
        <v>0.87719999999999998</v>
      </c>
      <c r="L35">
        <v>36</v>
      </c>
      <c r="M35">
        <v>124.233</v>
      </c>
      <c r="N35">
        <v>20</v>
      </c>
      <c r="O35">
        <v>119.042</v>
      </c>
      <c r="P35">
        <v>27</v>
      </c>
      <c r="Q35">
        <v>104.706</v>
      </c>
      <c r="R35">
        <v>86</v>
      </c>
      <c r="S35">
        <v>108.896</v>
      </c>
      <c r="T35">
        <v>194</v>
      </c>
      <c r="U35">
        <v>69.589299999999994</v>
      </c>
      <c r="V35">
        <v>116</v>
      </c>
      <c r="W35">
        <v>69.068799999999996</v>
      </c>
      <c r="X35">
        <v>87</v>
      </c>
      <c r="Y35">
        <v>-2.8799999999999999E-2</v>
      </c>
      <c r="Z35">
        <v>264</v>
      </c>
      <c r="AA35">
        <v>11.9009</v>
      </c>
      <c r="AB35">
        <v>34</v>
      </c>
      <c r="AC35">
        <v>116.047</v>
      </c>
      <c r="AD35">
        <v>37</v>
      </c>
      <c r="AE35">
        <v>104.146</v>
      </c>
      <c r="AF35">
        <v>36</v>
      </c>
      <c r="AG35">
        <v>4.0597000000000003</v>
      </c>
      <c r="AH35">
        <v>85</v>
      </c>
      <c r="AJ35">
        <v>16.52</v>
      </c>
      <c r="AK35">
        <v>58</v>
      </c>
      <c r="AL35">
        <v>17.97</v>
      </c>
      <c r="AM35">
        <v>288</v>
      </c>
      <c r="AN35">
        <v>16.96</v>
      </c>
      <c r="AO35">
        <v>4</v>
      </c>
      <c r="AP35">
        <v>17.97</v>
      </c>
      <c r="AQ35">
        <v>12</v>
      </c>
    </row>
    <row r="36" spans="1:43" x14ac:dyDescent="0.2">
      <c r="A36" t="s">
        <v>1782</v>
      </c>
      <c r="B36">
        <v>2026</v>
      </c>
      <c r="C36" t="s">
        <v>531</v>
      </c>
      <c r="D36">
        <v>0</v>
      </c>
      <c r="E36" t="s">
        <v>896</v>
      </c>
      <c r="F36" t="s">
        <v>1817</v>
      </c>
      <c r="G36">
        <v>26</v>
      </c>
      <c r="H36">
        <v>8</v>
      </c>
      <c r="I36">
        <v>19.4621</v>
      </c>
      <c r="J36">
        <v>35</v>
      </c>
      <c r="K36">
        <v>0.87729999999999997</v>
      </c>
      <c r="L36">
        <v>35</v>
      </c>
      <c r="M36">
        <v>123.80800000000001</v>
      </c>
      <c r="N36">
        <v>21</v>
      </c>
      <c r="O36">
        <v>118.96899999999999</v>
      </c>
      <c r="P36">
        <v>28</v>
      </c>
      <c r="Q36">
        <v>104.346</v>
      </c>
      <c r="R36">
        <v>81</v>
      </c>
      <c r="S36">
        <v>105.062</v>
      </c>
      <c r="T36">
        <v>96</v>
      </c>
      <c r="U36">
        <v>69.572000000000003</v>
      </c>
      <c r="V36">
        <v>117</v>
      </c>
      <c r="W36">
        <v>69.204099999999997</v>
      </c>
      <c r="X36">
        <v>83</v>
      </c>
      <c r="Y36">
        <v>1.55E-2</v>
      </c>
      <c r="Z36">
        <v>142</v>
      </c>
      <c r="AA36">
        <v>6.0620000000000003</v>
      </c>
      <c r="AB36">
        <v>85</v>
      </c>
      <c r="AC36">
        <v>112.033</v>
      </c>
      <c r="AD36">
        <v>90</v>
      </c>
      <c r="AE36">
        <v>105.971</v>
      </c>
      <c r="AF36">
        <v>75</v>
      </c>
      <c r="AG36">
        <v>3.9746000000000001</v>
      </c>
      <c r="AH36">
        <v>86</v>
      </c>
      <c r="AJ36">
        <v>16.66</v>
      </c>
      <c r="AK36">
        <v>72</v>
      </c>
      <c r="AL36">
        <v>17.850000000000001</v>
      </c>
      <c r="AM36">
        <v>258</v>
      </c>
      <c r="AN36">
        <v>15.88</v>
      </c>
      <c r="AO36">
        <v>1</v>
      </c>
      <c r="AP36">
        <v>17.79</v>
      </c>
      <c r="AQ36">
        <v>6</v>
      </c>
    </row>
    <row r="37" spans="1:43" x14ac:dyDescent="0.2">
      <c r="A37" t="s">
        <v>1782</v>
      </c>
      <c r="B37">
        <v>2026</v>
      </c>
      <c r="C37" t="s">
        <v>109</v>
      </c>
      <c r="D37">
        <v>0</v>
      </c>
      <c r="E37" t="s">
        <v>881</v>
      </c>
      <c r="F37" t="s">
        <v>1818</v>
      </c>
      <c r="G37">
        <v>24</v>
      </c>
      <c r="H37">
        <v>9</v>
      </c>
      <c r="I37">
        <v>19.3262</v>
      </c>
      <c r="J37">
        <v>36</v>
      </c>
      <c r="K37">
        <v>0.8891</v>
      </c>
      <c r="L37">
        <v>31</v>
      </c>
      <c r="M37">
        <v>116.717</v>
      </c>
      <c r="N37">
        <v>71</v>
      </c>
      <c r="O37">
        <v>112.76600000000001</v>
      </c>
      <c r="P37">
        <v>93</v>
      </c>
      <c r="Q37">
        <v>97.391000000000005</v>
      </c>
      <c r="R37">
        <v>19</v>
      </c>
      <c r="S37">
        <v>100.669</v>
      </c>
      <c r="T37">
        <v>37</v>
      </c>
      <c r="U37">
        <v>65.5261</v>
      </c>
      <c r="V37">
        <v>318</v>
      </c>
      <c r="W37">
        <v>64.209000000000003</v>
      </c>
      <c r="X37">
        <v>336</v>
      </c>
      <c r="Y37">
        <v>1.47E-2</v>
      </c>
      <c r="Z37">
        <v>145</v>
      </c>
      <c r="AA37">
        <v>9.8260000000000005</v>
      </c>
      <c r="AB37">
        <v>70</v>
      </c>
      <c r="AC37">
        <v>115.08499999999999</v>
      </c>
      <c r="AD37">
        <v>60</v>
      </c>
      <c r="AE37">
        <v>105.259</v>
      </c>
      <c r="AF37">
        <v>66</v>
      </c>
      <c r="AG37">
        <v>0.73960000000000004</v>
      </c>
      <c r="AH37">
        <v>163</v>
      </c>
      <c r="AJ37">
        <v>17.7</v>
      </c>
      <c r="AK37">
        <v>200</v>
      </c>
      <c r="AL37">
        <v>18.82</v>
      </c>
      <c r="AM37">
        <v>359</v>
      </c>
      <c r="AN37">
        <v>18.079999999999998</v>
      </c>
      <c r="AO37">
        <v>12</v>
      </c>
      <c r="AP37">
        <v>18.899999999999999</v>
      </c>
      <c r="AQ37">
        <v>18</v>
      </c>
    </row>
    <row r="38" spans="1:43" x14ac:dyDescent="0.2">
      <c r="A38" t="s">
        <v>1782</v>
      </c>
      <c r="B38">
        <v>2026</v>
      </c>
      <c r="C38" t="s">
        <v>601</v>
      </c>
      <c r="D38">
        <v>0</v>
      </c>
      <c r="E38" t="s">
        <v>887</v>
      </c>
      <c r="F38" t="s">
        <v>1819</v>
      </c>
      <c r="G38">
        <v>18</v>
      </c>
      <c r="H38">
        <v>14</v>
      </c>
      <c r="I38">
        <v>18.971499999999999</v>
      </c>
      <c r="J38">
        <v>37</v>
      </c>
      <c r="K38">
        <v>0.86899999999999999</v>
      </c>
      <c r="L38">
        <v>41</v>
      </c>
      <c r="M38">
        <v>125.071</v>
      </c>
      <c r="N38">
        <v>13</v>
      </c>
      <c r="O38">
        <v>119.47</v>
      </c>
      <c r="P38">
        <v>22</v>
      </c>
      <c r="Q38">
        <v>106.099</v>
      </c>
      <c r="R38">
        <v>110</v>
      </c>
      <c r="S38">
        <v>111.221</v>
      </c>
      <c r="T38">
        <v>249</v>
      </c>
      <c r="U38">
        <v>68.5655</v>
      </c>
      <c r="V38">
        <v>170</v>
      </c>
      <c r="W38">
        <v>66.885300000000001</v>
      </c>
      <c r="X38">
        <v>208</v>
      </c>
      <c r="Y38">
        <v>-8.2900000000000001E-2</v>
      </c>
      <c r="Z38">
        <v>345</v>
      </c>
      <c r="AA38">
        <v>13.569100000000001</v>
      </c>
      <c r="AB38">
        <v>17</v>
      </c>
      <c r="AC38">
        <v>117.49299999999999</v>
      </c>
      <c r="AD38">
        <v>16</v>
      </c>
      <c r="AE38">
        <v>103.92400000000001</v>
      </c>
      <c r="AF38">
        <v>30</v>
      </c>
      <c r="AG38">
        <v>-6.3792</v>
      </c>
      <c r="AH38">
        <v>322</v>
      </c>
      <c r="AJ38">
        <v>17.989999999999998</v>
      </c>
      <c r="AK38">
        <v>237</v>
      </c>
      <c r="AL38">
        <v>17.22</v>
      </c>
      <c r="AM38">
        <v>111</v>
      </c>
      <c r="AN38">
        <v>19</v>
      </c>
      <c r="AO38">
        <v>16</v>
      </c>
      <c r="AP38">
        <v>16.78</v>
      </c>
      <c r="AQ38">
        <v>3</v>
      </c>
    </row>
    <row r="39" spans="1:43" x14ac:dyDescent="0.2">
      <c r="A39" t="s">
        <v>1782</v>
      </c>
      <c r="B39">
        <v>2026</v>
      </c>
      <c r="C39" t="s">
        <v>37</v>
      </c>
      <c r="D39">
        <v>0</v>
      </c>
      <c r="E39" t="s">
        <v>887</v>
      </c>
      <c r="F39" t="s">
        <v>1820</v>
      </c>
      <c r="G39">
        <v>17</v>
      </c>
      <c r="H39">
        <v>16</v>
      </c>
      <c r="I39">
        <v>18.920999999999999</v>
      </c>
      <c r="J39">
        <v>38</v>
      </c>
      <c r="K39">
        <v>0.86870000000000003</v>
      </c>
      <c r="L39">
        <v>42</v>
      </c>
      <c r="M39">
        <v>124.874</v>
      </c>
      <c r="N39">
        <v>14</v>
      </c>
      <c r="O39">
        <v>118.465</v>
      </c>
      <c r="P39">
        <v>34</v>
      </c>
      <c r="Q39">
        <v>105.953</v>
      </c>
      <c r="R39">
        <v>109</v>
      </c>
      <c r="S39">
        <v>113.955</v>
      </c>
      <c r="T39">
        <v>308</v>
      </c>
      <c r="U39">
        <v>69.204499999999996</v>
      </c>
      <c r="V39">
        <v>137</v>
      </c>
      <c r="W39">
        <v>67.148700000000005</v>
      </c>
      <c r="X39">
        <v>192</v>
      </c>
      <c r="Y39">
        <v>-5.2999999999999999E-2</v>
      </c>
      <c r="Z39">
        <v>315</v>
      </c>
      <c r="AA39">
        <v>16.491900000000001</v>
      </c>
      <c r="AB39">
        <v>2</v>
      </c>
      <c r="AC39">
        <v>119.51</v>
      </c>
      <c r="AD39">
        <v>2</v>
      </c>
      <c r="AE39">
        <v>103.01900000000001</v>
      </c>
      <c r="AF39">
        <v>10</v>
      </c>
      <c r="AG39">
        <v>8.1633999999999993</v>
      </c>
      <c r="AH39">
        <v>28</v>
      </c>
      <c r="AJ39">
        <v>17.25</v>
      </c>
      <c r="AK39">
        <v>140</v>
      </c>
      <c r="AL39">
        <v>17.489999999999998</v>
      </c>
      <c r="AM39">
        <v>171</v>
      </c>
      <c r="AN39">
        <v>17.440000000000001</v>
      </c>
      <c r="AO39">
        <v>9</v>
      </c>
      <c r="AP39">
        <v>17.8</v>
      </c>
      <c r="AQ39">
        <v>13</v>
      </c>
    </row>
    <row r="40" spans="1:43" x14ac:dyDescent="0.2">
      <c r="A40" t="s">
        <v>1782</v>
      </c>
      <c r="B40">
        <v>2026</v>
      </c>
      <c r="C40" t="s">
        <v>513</v>
      </c>
      <c r="D40">
        <v>0</v>
      </c>
      <c r="E40" t="s">
        <v>926</v>
      </c>
      <c r="F40" t="s">
        <v>1821</v>
      </c>
      <c r="G40">
        <v>27</v>
      </c>
      <c r="H40">
        <v>4</v>
      </c>
      <c r="I40">
        <v>18.640499999999999</v>
      </c>
      <c r="J40">
        <v>39</v>
      </c>
      <c r="K40">
        <v>0.87460000000000004</v>
      </c>
      <c r="L40">
        <v>39</v>
      </c>
      <c r="M40">
        <v>119.95699999999999</v>
      </c>
      <c r="N40">
        <v>46</v>
      </c>
      <c r="O40">
        <v>121.024</v>
      </c>
      <c r="P40">
        <v>11</v>
      </c>
      <c r="Q40">
        <v>101.316</v>
      </c>
      <c r="R40">
        <v>40</v>
      </c>
      <c r="S40">
        <v>98.281800000000004</v>
      </c>
      <c r="T40">
        <v>17</v>
      </c>
      <c r="U40">
        <v>71.963300000000004</v>
      </c>
      <c r="V40">
        <v>26</v>
      </c>
      <c r="W40">
        <v>70.981999999999999</v>
      </c>
      <c r="X40">
        <v>23</v>
      </c>
      <c r="Y40">
        <v>4.3299999999999998E-2</v>
      </c>
      <c r="Z40">
        <v>75</v>
      </c>
      <c r="AA40">
        <v>0.20469999999999999</v>
      </c>
      <c r="AB40">
        <v>145</v>
      </c>
      <c r="AC40">
        <v>108.626</v>
      </c>
      <c r="AD40">
        <v>192</v>
      </c>
      <c r="AE40">
        <v>108.422</v>
      </c>
      <c r="AF40">
        <v>130</v>
      </c>
      <c r="AG40">
        <v>-5.8255999999999997</v>
      </c>
      <c r="AH40">
        <v>316</v>
      </c>
      <c r="AJ40">
        <v>15.11</v>
      </c>
      <c r="AK40">
        <v>4</v>
      </c>
      <c r="AL40">
        <v>18.170000000000002</v>
      </c>
      <c r="AM40">
        <v>309</v>
      </c>
      <c r="AN40">
        <v>15.7</v>
      </c>
      <c r="AO40">
        <v>1</v>
      </c>
      <c r="AP40">
        <v>18.61</v>
      </c>
      <c r="AQ40">
        <v>12</v>
      </c>
    </row>
    <row r="41" spans="1:43" x14ac:dyDescent="0.2">
      <c r="A41" t="s">
        <v>1782</v>
      </c>
      <c r="B41">
        <v>2026</v>
      </c>
      <c r="C41" t="s">
        <v>597</v>
      </c>
      <c r="D41">
        <v>0</v>
      </c>
      <c r="E41" t="s">
        <v>887</v>
      </c>
      <c r="F41" t="s">
        <v>1822</v>
      </c>
      <c r="G41">
        <v>21</v>
      </c>
      <c r="H41">
        <v>11</v>
      </c>
      <c r="I41">
        <v>18.6325</v>
      </c>
      <c r="J41">
        <v>40</v>
      </c>
      <c r="K41">
        <v>0.87480000000000002</v>
      </c>
      <c r="L41">
        <v>38</v>
      </c>
      <c r="M41">
        <v>119.79</v>
      </c>
      <c r="N41">
        <v>48</v>
      </c>
      <c r="O41">
        <v>118.07299999999999</v>
      </c>
      <c r="P41">
        <v>38</v>
      </c>
      <c r="Q41">
        <v>101.157</v>
      </c>
      <c r="R41">
        <v>38</v>
      </c>
      <c r="S41">
        <v>107.705</v>
      </c>
      <c r="T41">
        <v>157</v>
      </c>
      <c r="U41">
        <v>72.627499999999998</v>
      </c>
      <c r="V41">
        <v>17</v>
      </c>
      <c r="W41">
        <v>70.462800000000001</v>
      </c>
      <c r="X41">
        <v>30</v>
      </c>
      <c r="Y41">
        <v>-2.2000000000000001E-3</v>
      </c>
      <c r="Z41">
        <v>197</v>
      </c>
      <c r="AA41">
        <v>11.072100000000001</v>
      </c>
      <c r="AB41">
        <v>49</v>
      </c>
      <c r="AC41">
        <v>117.143</v>
      </c>
      <c r="AD41">
        <v>20</v>
      </c>
      <c r="AE41">
        <v>106.071</v>
      </c>
      <c r="AF41">
        <v>79</v>
      </c>
      <c r="AG41">
        <v>-6.0749000000000004</v>
      </c>
      <c r="AH41">
        <v>319</v>
      </c>
      <c r="AJ41">
        <v>15.56</v>
      </c>
      <c r="AK41">
        <v>14</v>
      </c>
      <c r="AL41">
        <v>17.489999999999998</v>
      </c>
      <c r="AM41">
        <v>172</v>
      </c>
      <c r="AN41">
        <v>16.16</v>
      </c>
      <c r="AO41">
        <v>3</v>
      </c>
      <c r="AP41">
        <v>18.010000000000002</v>
      </c>
      <c r="AQ41">
        <v>16</v>
      </c>
    </row>
    <row r="42" spans="1:43" x14ac:dyDescent="0.2">
      <c r="A42" t="s">
        <v>1782</v>
      </c>
      <c r="B42">
        <v>2026</v>
      </c>
      <c r="C42" t="s">
        <v>443</v>
      </c>
      <c r="D42">
        <v>0</v>
      </c>
      <c r="E42" t="s">
        <v>887</v>
      </c>
      <c r="F42" t="s">
        <v>1823</v>
      </c>
      <c r="G42">
        <v>19</v>
      </c>
      <c r="H42">
        <v>14</v>
      </c>
      <c r="I42">
        <v>18.259599999999999</v>
      </c>
      <c r="J42">
        <v>41</v>
      </c>
      <c r="K42">
        <v>0.86099999999999999</v>
      </c>
      <c r="L42">
        <v>45</v>
      </c>
      <c r="M42">
        <v>124.495</v>
      </c>
      <c r="N42">
        <v>18</v>
      </c>
      <c r="O42">
        <v>120.565</v>
      </c>
      <c r="P42">
        <v>13</v>
      </c>
      <c r="Q42">
        <v>106.236</v>
      </c>
      <c r="R42">
        <v>112</v>
      </c>
      <c r="S42">
        <v>111.783</v>
      </c>
      <c r="T42">
        <v>265</v>
      </c>
      <c r="U42">
        <v>68.366200000000006</v>
      </c>
      <c r="V42">
        <v>181</v>
      </c>
      <c r="W42">
        <v>66.237399999999994</v>
      </c>
      <c r="X42">
        <v>242</v>
      </c>
      <c r="Y42">
        <v>-5.74E-2</v>
      </c>
      <c r="Z42">
        <v>321</v>
      </c>
      <c r="AA42">
        <v>12.775700000000001</v>
      </c>
      <c r="AB42">
        <v>25</v>
      </c>
      <c r="AC42">
        <v>117.044</v>
      </c>
      <c r="AD42">
        <v>21</v>
      </c>
      <c r="AE42">
        <v>104.268</v>
      </c>
      <c r="AF42">
        <v>40</v>
      </c>
      <c r="AG42">
        <v>-5.5462999999999996</v>
      </c>
      <c r="AH42">
        <v>313</v>
      </c>
      <c r="AJ42">
        <v>17.3</v>
      </c>
      <c r="AK42">
        <v>153</v>
      </c>
      <c r="AL42">
        <v>17.73</v>
      </c>
      <c r="AM42">
        <v>231</v>
      </c>
      <c r="AN42">
        <v>17.920000000000002</v>
      </c>
      <c r="AO42">
        <v>11</v>
      </c>
      <c r="AP42">
        <v>17.61</v>
      </c>
      <c r="AQ42">
        <v>12</v>
      </c>
    </row>
    <row r="43" spans="1:43" x14ac:dyDescent="0.2">
      <c r="A43" t="s">
        <v>1782</v>
      </c>
      <c r="B43">
        <v>2026</v>
      </c>
      <c r="C43" t="s">
        <v>503</v>
      </c>
      <c r="D43">
        <v>0</v>
      </c>
      <c r="E43" t="s">
        <v>881</v>
      </c>
      <c r="F43" t="s">
        <v>1824</v>
      </c>
      <c r="G43">
        <v>20</v>
      </c>
      <c r="H43">
        <v>13</v>
      </c>
      <c r="I43">
        <v>18.1035</v>
      </c>
      <c r="J43">
        <v>42</v>
      </c>
      <c r="K43">
        <v>0.86170000000000002</v>
      </c>
      <c r="L43">
        <v>44</v>
      </c>
      <c r="M43">
        <v>123.108</v>
      </c>
      <c r="N43">
        <v>26</v>
      </c>
      <c r="O43">
        <v>118.065</v>
      </c>
      <c r="P43">
        <v>39</v>
      </c>
      <c r="Q43">
        <v>105.005</v>
      </c>
      <c r="R43">
        <v>91</v>
      </c>
      <c r="S43">
        <v>109.575</v>
      </c>
      <c r="T43">
        <v>210</v>
      </c>
      <c r="U43">
        <v>70.685900000000004</v>
      </c>
      <c r="V43">
        <v>67</v>
      </c>
      <c r="W43">
        <v>68.560199999999995</v>
      </c>
      <c r="X43">
        <v>115</v>
      </c>
      <c r="Y43">
        <v>-4.3200000000000002E-2</v>
      </c>
      <c r="Z43">
        <v>297</v>
      </c>
      <c r="AA43">
        <v>11.146699999999999</v>
      </c>
      <c r="AB43">
        <v>47</v>
      </c>
      <c r="AC43">
        <v>115.83</v>
      </c>
      <c r="AD43">
        <v>44</v>
      </c>
      <c r="AE43">
        <v>104.68300000000001</v>
      </c>
      <c r="AF43">
        <v>55</v>
      </c>
      <c r="AG43">
        <v>1.2367999999999999</v>
      </c>
      <c r="AH43">
        <v>144</v>
      </c>
      <c r="AJ43">
        <v>16.260000000000002</v>
      </c>
      <c r="AK43">
        <v>43</v>
      </c>
      <c r="AL43">
        <v>17.600000000000001</v>
      </c>
      <c r="AM43">
        <v>198</v>
      </c>
      <c r="AN43">
        <v>16.66</v>
      </c>
      <c r="AO43">
        <v>3</v>
      </c>
      <c r="AP43">
        <v>18.079999999999998</v>
      </c>
      <c r="AQ43">
        <v>14</v>
      </c>
    </row>
    <row r="44" spans="1:43" x14ac:dyDescent="0.2">
      <c r="A44" t="s">
        <v>1782</v>
      </c>
      <c r="B44">
        <v>2026</v>
      </c>
      <c r="C44" t="s">
        <v>583</v>
      </c>
      <c r="D44">
        <v>0</v>
      </c>
      <c r="E44" t="s">
        <v>885</v>
      </c>
      <c r="F44" t="s">
        <v>1825</v>
      </c>
      <c r="G44">
        <v>22</v>
      </c>
      <c r="H44">
        <v>11</v>
      </c>
      <c r="I44">
        <v>17.662299999999998</v>
      </c>
      <c r="J44">
        <v>43</v>
      </c>
      <c r="K44">
        <v>0.87080000000000002</v>
      </c>
      <c r="L44">
        <v>40</v>
      </c>
      <c r="M44">
        <v>115.536</v>
      </c>
      <c r="N44">
        <v>81</v>
      </c>
      <c r="O44">
        <v>110.922</v>
      </c>
      <c r="P44">
        <v>125</v>
      </c>
      <c r="Q44">
        <v>97.873800000000003</v>
      </c>
      <c r="R44">
        <v>23</v>
      </c>
      <c r="S44">
        <v>101.96</v>
      </c>
      <c r="T44">
        <v>44</v>
      </c>
      <c r="U44">
        <v>69.665999999999997</v>
      </c>
      <c r="V44">
        <v>110</v>
      </c>
      <c r="W44">
        <v>67.673199999999994</v>
      </c>
      <c r="X44">
        <v>164</v>
      </c>
      <c r="Y44">
        <v>3.8999999999999998E-3</v>
      </c>
      <c r="Z44">
        <v>178</v>
      </c>
      <c r="AA44">
        <v>11.058400000000001</v>
      </c>
      <c r="AB44">
        <v>50</v>
      </c>
      <c r="AC44">
        <v>115.384</v>
      </c>
      <c r="AD44">
        <v>51</v>
      </c>
      <c r="AE44">
        <v>104.32599999999999</v>
      </c>
      <c r="AF44">
        <v>44</v>
      </c>
      <c r="AG44">
        <v>-7.0030000000000001</v>
      </c>
      <c r="AH44">
        <v>333</v>
      </c>
      <c r="AJ44">
        <v>16.649999999999999</v>
      </c>
      <c r="AK44">
        <v>70</v>
      </c>
      <c r="AL44">
        <v>17.989999999999998</v>
      </c>
      <c r="AM44">
        <v>289</v>
      </c>
      <c r="AN44">
        <v>16.809999999999999</v>
      </c>
      <c r="AO44">
        <v>6</v>
      </c>
      <c r="AP44">
        <v>17.78</v>
      </c>
      <c r="AQ44">
        <v>12</v>
      </c>
    </row>
    <row r="45" spans="1:43" x14ac:dyDescent="0.2">
      <c r="A45" t="s">
        <v>1782</v>
      </c>
      <c r="B45">
        <v>2026</v>
      </c>
      <c r="C45" t="s">
        <v>107</v>
      </c>
      <c r="D45">
        <v>0</v>
      </c>
      <c r="E45" t="s">
        <v>885</v>
      </c>
      <c r="F45" t="s">
        <v>1826</v>
      </c>
      <c r="G45">
        <v>18</v>
      </c>
      <c r="H45">
        <v>15</v>
      </c>
      <c r="I45">
        <v>17.462499999999999</v>
      </c>
      <c r="J45">
        <v>44</v>
      </c>
      <c r="K45">
        <v>0.87670000000000003</v>
      </c>
      <c r="L45">
        <v>37</v>
      </c>
      <c r="M45">
        <v>111.36</v>
      </c>
      <c r="N45">
        <v>132</v>
      </c>
      <c r="O45">
        <v>105.18</v>
      </c>
      <c r="P45">
        <v>247</v>
      </c>
      <c r="Q45">
        <v>93.897099999999995</v>
      </c>
      <c r="R45">
        <v>9</v>
      </c>
      <c r="S45">
        <v>98.060599999999994</v>
      </c>
      <c r="T45">
        <v>15</v>
      </c>
      <c r="U45">
        <v>69.158000000000001</v>
      </c>
      <c r="V45">
        <v>140</v>
      </c>
      <c r="W45">
        <v>67.494699999999995</v>
      </c>
      <c r="X45">
        <v>175</v>
      </c>
      <c r="Y45">
        <v>-7.2900000000000006E-2</v>
      </c>
      <c r="Z45">
        <v>337</v>
      </c>
      <c r="AA45">
        <v>10.9701</v>
      </c>
      <c r="AB45">
        <v>53</v>
      </c>
      <c r="AC45">
        <v>114.96</v>
      </c>
      <c r="AD45">
        <v>64</v>
      </c>
      <c r="AE45">
        <v>103.99</v>
      </c>
      <c r="AF45">
        <v>32</v>
      </c>
      <c r="AG45">
        <v>-3.2597</v>
      </c>
      <c r="AH45">
        <v>271</v>
      </c>
      <c r="AJ45">
        <v>17.010000000000002</v>
      </c>
      <c r="AK45">
        <v>106</v>
      </c>
      <c r="AL45">
        <v>17.86</v>
      </c>
      <c r="AM45">
        <v>260</v>
      </c>
      <c r="AN45">
        <v>18.170000000000002</v>
      </c>
      <c r="AO45">
        <v>12</v>
      </c>
      <c r="AP45">
        <v>17.989999999999998</v>
      </c>
      <c r="AQ45">
        <v>13</v>
      </c>
    </row>
    <row r="46" spans="1:43" x14ac:dyDescent="0.2">
      <c r="A46" t="s">
        <v>1782</v>
      </c>
      <c r="B46">
        <v>2026</v>
      </c>
      <c r="C46" t="s">
        <v>251</v>
      </c>
      <c r="D46">
        <v>0</v>
      </c>
      <c r="E46" t="s">
        <v>883</v>
      </c>
      <c r="F46" t="s">
        <v>1827</v>
      </c>
      <c r="G46">
        <v>18</v>
      </c>
      <c r="H46">
        <v>14</v>
      </c>
      <c r="I46">
        <v>17.142600000000002</v>
      </c>
      <c r="J46">
        <v>45</v>
      </c>
      <c r="K46">
        <v>0.8538</v>
      </c>
      <c r="L46">
        <v>47</v>
      </c>
      <c r="M46">
        <v>120.48699999999999</v>
      </c>
      <c r="N46">
        <v>40</v>
      </c>
      <c r="O46">
        <v>115.65300000000001</v>
      </c>
      <c r="P46">
        <v>55</v>
      </c>
      <c r="Q46">
        <v>103.345</v>
      </c>
      <c r="R46">
        <v>64</v>
      </c>
      <c r="S46">
        <v>107.629</v>
      </c>
      <c r="T46">
        <v>152</v>
      </c>
      <c r="U46">
        <v>66.597399999999993</v>
      </c>
      <c r="V46">
        <v>264</v>
      </c>
      <c r="W46">
        <v>66.073599999999999</v>
      </c>
      <c r="X46">
        <v>251</v>
      </c>
      <c r="Y46">
        <v>-4.1099999999999998E-2</v>
      </c>
      <c r="Z46">
        <v>296</v>
      </c>
      <c r="AA46">
        <v>11.715</v>
      </c>
      <c r="AB46">
        <v>38</v>
      </c>
      <c r="AC46">
        <v>116.209</v>
      </c>
      <c r="AD46">
        <v>34</v>
      </c>
      <c r="AE46">
        <v>104.494</v>
      </c>
      <c r="AF46">
        <v>49</v>
      </c>
      <c r="AG46">
        <v>-4.8914999999999997</v>
      </c>
      <c r="AH46">
        <v>300</v>
      </c>
      <c r="AJ46">
        <v>18.14</v>
      </c>
      <c r="AK46">
        <v>250</v>
      </c>
      <c r="AL46">
        <v>18.07</v>
      </c>
      <c r="AM46">
        <v>302</v>
      </c>
      <c r="AN46">
        <v>18.899999999999999</v>
      </c>
      <c r="AO46">
        <v>13</v>
      </c>
      <c r="AP46">
        <v>18.420000000000002</v>
      </c>
      <c r="AQ46">
        <v>11</v>
      </c>
    </row>
    <row r="47" spans="1:43" x14ac:dyDescent="0.2">
      <c r="A47" t="s">
        <v>1782</v>
      </c>
      <c r="B47">
        <v>2026</v>
      </c>
      <c r="C47" t="s">
        <v>523</v>
      </c>
      <c r="D47">
        <v>0</v>
      </c>
      <c r="E47" t="s">
        <v>918</v>
      </c>
      <c r="F47" t="s">
        <v>1828</v>
      </c>
      <c r="G47">
        <v>21</v>
      </c>
      <c r="H47">
        <v>10</v>
      </c>
      <c r="I47">
        <v>16.835899999999999</v>
      </c>
      <c r="J47">
        <v>46</v>
      </c>
      <c r="K47">
        <v>0.86229999999999996</v>
      </c>
      <c r="L47">
        <v>43</v>
      </c>
      <c r="M47">
        <v>114.203</v>
      </c>
      <c r="N47">
        <v>93</v>
      </c>
      <c r="O47">
        <v>109.70699999999999</v>
      </c>
      <c r="P47">
        <v>143</v>
      </c>
      <c r="Q47">
        <v>97.367400000000004</v>
      </c>
      <c r="R47">
        <v>18</v>
      </c>
      <c r="S47">
        <v>100.54300000000001</v>
      </c>
      <c r="T47">
        <v>36</v>
      </c>
      <c r="U47">
        <v>69.448899999999995</v>
      </c>
      <c r="V47">
        <v>123</v>
      </c>
      <c r="W47">
        <v>69.117500000000007</v>
      </c>
      <c r="X47">
        <v>86</v>
      </c>
      <c r="Y47">
        <v>1.06E-2</v>
      </c>
      <c r="Z47">
        <v>154</v>
      </c>
      <c r="AA47">
        <v>7.7701000000000002</v>
      </c>
      <c r="AB47">
        <v>77</v>
      </c>
      <c r="AC47">
        <v>114.039</v>
      </c>
      <c r="AD47">
        <v>73</v>
      </c>
      <c r="AE47">
        <v>106.268</v>
      </c>
      <c r="AF47">
        <v>84</v>
      </c>
      <c r="AG47">
        <v>5.4282000000000004</v>
      </c>
      <c r="AH47">
        <v>62</v>
      </c>
      <c r="AJ47">
        <v>16.399999999999999</v>
      </c>
      <c r="AK47">
        <v>52</v>
      </c>
      <c r="AL47">
        <v>18.190000000000001</v>
      </c>
      <c r="AM47">
        <v>315</v>
      </c>
      <c r="AN47">
        <v>16.29</v>
      </c>
      <c r="AO47">
        <v>2</v>
      </c>
      <c r="AP47">
        <v>18.489999999999998</v>
      </c>
      <c r="AQ47">
        <v>10</v>
      </c>
    </row>
    <row r="48" spans="1:43" x14ac:dyDescent="0.2">
      <c r="A48" t="s">
        <v>1782</v>
      </c>
      <c r="B48">
        <v>2026</v>
      </c>
      <c r="C48" t="s">
        <v>671</v>
      </c>
      <c r="D48">
        <v>0</v>
      </c>
      <c r="E48" t="s">
        <v>926</v>
      </c>
      <c r="F48" t="s">
        <v>1829</v>
      </c>
      <c r="G48">
        <v>24</v>
      </c>
      <c r="H48">
        <v>7</v>
      </c>
      <c r="I48">
        <v>16.8064</v>
      </c>
      <c r="J48">
        <v>47</v>
      </c>
      <c r="K48">
        <v>0.8498</v>
      </c>
      <c r="L48">
        <v>48</v>
      </c>
      <c r="M48">
        <v>120.146</v>
      </c>
      <c r="N48">
        <v>45</v>
      </c>
      <c r="O48">
        <v>118.318</v>
      </c>
      <c r="P48">
        <v>36</v>
      </c>
      <c r="Q48">
        <v>103.339</v>
      </c>
      <c r="R48">
        <v>63</v>
      </c>
      <c r="S48">
        <v>103.601</v>
      </c>
      <c r="T48">
        <v>70</v>
      </c>
      <c r="U48">
        <v>69.808899999999994</v>
      </c>
      <c r="V48">
        <v>100</v>
      </c>
      <c r="W48">
        <v>68.995400000000004</v>
      </c>
      <c r="X48">
        <v>92</v>
      </c>
      <c r="Y48">
        <v>-1.8800000000000001E-2</v>
      </c>
      <c r="Z48">
        <v>235</v>
      </c>
      <c r="AA48">
        <v>3.0364</v>
      </c>
      <c r="AB48">
        <v>103</v>
      </c>
      <c r="AC48">
        <v>110.617</v>
      </c>
      <c r="AD48">
        <v>107</v>
      </c>
      <c r="AE48">
        <v>107.58</v>
      </c>
      <c r="AF48">
        <v>106</v>
      </c>
      <c r="AG48">
        <v>-1.4379</v>
      </c>
      <c r="AH48">
        <v>223</v>
      </c>
      <c r="AJ48">
        <v>16.37</v>
      </c>
      <c r="AK48">
        <v>50</v>
      </c>
      <c r="AL48">
        <v>17.920000000000002</v>
      </c>
      <c r="AM48">
        <v>276</v>
      </c>
      <c r="AN48">
        <v>16.78</v>
      </c>
      <c r="AO48">
        <v>2</v>
      </c>
      <c r="AP48">
        <v>18.239999999999998</v>
      </c>
      <c r="AQ48">
        <v>10</v>
      </c>
    </row>
    <row r="49" spans="1:43" x14ac:dyDescent="0.2">
      <c r="A49" t="s">
        <v>1782</v>
      </c>
      <c r="B49">
        <v>2026</v>
      </c>
      <c r="C49" t="s">
        <v>45</v>
      </c>
      <c r="D49">
        <v>0</v>
      </c>
      <c r="E49" t="s">
        <v>885</v>
      </c>
      <c r="F49" t="s">
        <v>1830</v>
      </c>
      <c r="G49">
        <v>16</v>
      </c>
      <c r="H49">
        <v>16</v>
      </c>
      <c r="I49">
        <v>15.9398</v>
      </c>
      <c r="J49">
        <v>48</v>
      </c>
      <c r="K49">
        <v>0.83120000000000005</v>
      </c>
      <c r="L49">
        <v>51</v>
      </c>
      <c r="M49">
        <v>123.134</v>
      </c>
      <c r="N49">
        <v>25</v>
      </c>
      <c r="O49">
        <v>116.367</v>
      </c>
      <c r="P49">
        <v>51</v>
      </c>
      <c r="Q49">
        <v>107.194</v>
      </c>
      <c r="R49">
        <v>129</v>
      </c>
      <c r="S49">
        <v>111.773</v>
      </c>
      <c r="T49">
        <v>264</v>
      </c>
      <c r="U49">
        <v>69.626199999999997</v>
      </c>
      <c r="V49">
        <v>113</v>
      </c>
      <c r="W49">
        <v>67.786299999999997</v>
      </c>
      <c r="X49">
        <v>156</v>
      </c>
      <c r="Y49">
        <v>-8.5599999999999996E-2</v>
      </c>
      <c r="Z49">
        <v>346</v>
      </c>
      <c r="AA49">
        <v>13.853</v>
      </c>
      <c r="AB49">
        <v>14</v>
      </c>
      <c r="AC49">
        <v>115.843</v>
      </c>
      <c r="AD49">
        <v>43</v>
      </c>
      <c r="AE49">
        <v>101.99</v>
      </c>
      <c r="AF49">
        <v>2</v>
      </c>
      <c r="AG49">
        <v>1.1144000000000001</v>
      </c>
      <c r="AH49">
        <v>147</v>
      </c>
      <c r="AJ49">
        <v>17.46</v>
      </c>
      <c r="AK49">
        <v>169</v>
      </c>
      <c r="AL49">
        <v>17.11</v>
      </c>
      <c r="AM49">
        <v>82</v>
      </c>
      <c r="AN49">
        <v>18.05</v>
      </c>
      <c r="AO49">
        <v>11</v>
      </c>
      <c r="AP49">
        <v>17.59</v>
      </c>
      <c r="AQ49">
        <v>9</v>
      </c>
    </row>
    <row r="50" spans="1:43" x14ac:dyDescent="0.2">
      <c r="A50" t="s">
        <v>1782</v>
      </c>
      <c r="B50">
        <v>2026</v>
      </c>
      <c r="C50" t="s">
        <v>391</v>
      </c>
      <c r="D50">
        <v>0</v>
      </c>
      <c r="E50" t="s">
        <v>918</v>
      </c>
      <c r="F50" t="s">
        <v>1831</v>
      </c>
      <c r="G50">
        <v>23</v>
      </c>
      <c r="H50">
        <v>9</v>
      </c>
      <c r="I50">
        <v>15.9375</v>
      </c>
      <c r="J50">
        <v>49</v>
      </c>
      <c r="K50">
        <v>0.84209999999999996</v>
      </c>
      <c r="L50">
        <v>49</v>
      </c>
      <c r="M50">
        <v>117.65600000000001</v>
      </c>
      <c r="N50">
        <v>61</v>
      </c>
      <c r="O50">
        <v>114.661</v>
      </c>
      <c r="P50">
        <v>66</v>
      </c>
      <c r="Q50">
        <v>101.718</v>
      </c>
      <c r="R50">
        <v>43</v>
      </c>
      <c r="S50">
        <v>101.964</v>
      </c>
      <c r="T50">
        <v>45</v>
      </c>
      <c r="U50">
        <v>70.602000000000004</v>
      </c>
      <c r="V50">
        <v>74</v>
      </c>
      <c r="W50">
        <v>69.988500000000002</v>
      </c>
      <c r="X50">
        <v>45</v>
      </c>
      <c r="Y50">
        <v>-1.9599999999999999E-2</v>
      </c>
      <c r="Z50">
        <v>238</v>
      </c>
      <c r="AA50">
        <v>5.2537000000000003</v>
      </c>
      <c r="AB50">
        <v>89</v>
      </c>
      <c r="AC50">
        <v>111.97499999999999</v>
      </c>
      <c r="AD50">
        <v>92</v>
      </c>
      <c r="AE50">
        <v>106.721</v>
      </c>
      <c r="AF50">
        <v>92</v>
      </c>
      <c r="AG50">
        <v>0.50619999999999998</v>
      </c>
      <c r="AH50">
        <v>170</v>
      </c>
      <c r="AJ50">
        <v>16.170000000000002</v>
      </c>
      <c r="AK50">
        <v>37</v>
      </c>
      <c r="AL50">
        <v>17.82</v>
      </c>
      <c r="AM50">
        <v>251</v>
      </c>
      <c r="AN50">
        <v>16.149999999999999</v>
      </c>
      <c r="AO50">
        <v>1</v>
      </c>
      <c r="AP50">
        <v>18.13</v>
      </c>
      <c r="AQ50">
        <v>8</v>
      </c>
    </row>
    <row r="51" spans="1:43" x14ac:dyDescent="0.2">
      <c r="A51" t="s">
        <v>1782</v>
      </c>
      <c r="B51">
        <v>2026</v>
      </c>
      <c r="C51" t="s">
        <v>535</v>
      </c>
      <c r="D51">
        <v>0</v>
      </c>
      <c r="E51" t="s">
        <v>894</v>
      </c>
      <c r="F51" t="s">
        <v>1832</v>
      </c>
      <c r="G51">
        <v>21</v>
      </c>
      <c r="H51">
        <v>11</v>
      </c>
      <c r="I51">
        <v>15.8026</v>
      </c>
      <c r="J51">
        <v>50</v>
      </c>
      <c r="K51">
        <v>0.85550000000000004</v>
      </c>
      <c r="L51">
        <v>46</v>
      </c>
      <c r="M51">
        <v>110.294</v>
      </c>
      <c r="N51">
        <v>151</v>
      </c>
      <c r="O51">
        <v>105.794</v>
      </c>
      <c r="P51">
        <v>233</v>
      </c>
      <c r="Q51">
        <v>94.491799999999998</v>
      </c>
      <c r="R51">
        <v>12</v>
      </c>
      <c r="S51">
        <v>97.678100000000001</v>
      </c>
      <c r="T51">
        <v>13</v>
      </c>
      <c r="U51">
        <v>66.474599999999995</v>
      </c>
      <c r="V51">
        <v>280</v>
      </c>
      <c r="W51">
        <v>65.125500000000002</v>
      </c>
      <c r="X51">
        <v>302</v>
      </c>
      <c r="Y51">
        <v>-3.04E-2</v>
      </c>
      <c r="Z51">
        <v>272</v>
      </c>
      <c r="AA51">
        <v>8.3289000000000009</v>
      </c>
      <c r="AB51">
        <v>75</v>
      </c>
      <c r="AC51">
        <v>113.84399999999999</v>
      </c>
      <c r="AD51">
        <v>75</v>
      </c>
      <c r="AE51">
        <v>105.515</v>
      </c>
      <c r="AF51">
        <v>70</v>
      </c>
      <c r="AG51">
        <v>-4.2287999999999997</v>
      </c>
      <c r="AH51">
        <v>290</v>
      </c>
      <c r="AJ51">
        <v>17.77</v>
      </c>
      <c r="AK51">
        <v>207</v>
      </c>
      <c r="AL51">
        <v>18.190000000000001</v>
      </c>
      <c r="AM51">
        <v>316</v>
      </c>
      <c r="AN51">
        <v>18.02</v>
      </c>
      <c r="AO51">
        <v>8</v>
      </c>
      <c r="AP51">
        <v>18.28</v>
      </c>
      <c r="AQ51">
        <v>9</v>
      </c>
    </row>
    <row r="52" spans="1:43" x14ac:dyDescent="0.2">
      <c r="A52" t="s">
        <v>1782</v>
      </c>
      <c r="B52">
        <v>2026</v>
      </c>
      <c r="C52" t="s">
        <v>365</v>
      </c>
      <c r="D52">
        <v>0</v>
      </c>
      <c r="E52" t="s">
        <v>887</v>
      </c>
      <c r="F52" t="s">
        <v>1833</v>
      </c>
      <c r="G52">
        <v>20</v>
      </c>
      <c r="H52">
        <v>12</v>
      </c>
      <c r="I52">
        <v>15.4154</v>
      </c>
      <c r="J52">
        <v>51</v>
      </c>
      <c r="K52">
        <v>0.83020000000000005</v>
      </c>
      <c r="L52">
        <v>52</v>
      </c>
      <c r="M52">
        <v>119.587</v>
      </c>
      <c r="N52">
        <v>51</v>
      </c>
      <c r="O52">
        <v>115.474</v>
      </c>
      <c r="P52">
        <v>58</v>
      </c>
      <c r="Q52">
        <v>104.17100000000001</v>
      </c>
      <c r="R52">
        <v>76</v>
      </c>
      <c r="S52">
        <v>109.75700000000001</v>
      </c>
      <c r="T52">
        <v>213</v>
      </c>
      <c r="U52">
        <v>68.359700000000004</v>
      </c>
      <c r="V52">
        <v>182</v>
      </c>
      <c r="W52">
        <v>66.170199999999994</v>
      </c>
      <c r="X52">
        <v>247</v>
      </c>
      <c r="Y52">
        <v>4.0899999999999999E-2</v>
      </c>
      <c r="Z52">
        <v>83</v>
      </c>
      <c r="AA52">
        <v>11.4742</v>
      </c>
      <c r="AB52">
        <v>41</v>
      </c>
      <c r="AC52">
        <v>116.744</v>
      </c>
      <c r="AD52">
        <v>26</v>
      </c>
      <c r="AE52">
        <v>105.27</v>
      </c>
      <c r="AF52">
        <v>67</v>
      </c>
      <c r="AG52">
        <v>-7.9393000000000002</v>
      </c>
      <c r="AH52">
        <v>345</v>
      </c>
      <c r="AJ52">
        <v>17.3</v>
      </c>
      <c r="AK52">
        <v>150</v>
      </c>
      <c r="AL52">
        <v>17.8</v>
      </c>
      <c r="AM52">
        <v>248</v>
      </c>
      <c r="AN52">
        <v>18.079999999999998</v>
      </c>
      <c r="AO52">
        <v>12</v>
      </c>
      <c r="AP52">
        <v>17.54</v>
      </c>
      <c r="AQ52">
        <v>8</v>
      </c>
    </row>
    <row r="53" spans="1:43" x14ac:dyDescent="0.2">
      <c r="A53" t="s">
        <v>1782</v>
      </c>
      <c r="B53">
        <v>2026</v>
      </c>
      <c r="C53" t="s">
        <v>549</v>
      </c>
      <c r="D53">
        <v>0</v>
      </c>
      <c r="E53" t="s">
        <v>940</v>
      </c>
      <c r="F53" t="s">
        <v>1834</v>
      </c>
      <c r="G53">
        <v>23</v>
      </c>
      <c r="H53">
        <v>8</v>
      </c>
      <c r="I53">
        <v>15.255599999999999</v>
      </c>
      <c r="J53">
        <v>52</v>
      </c>
      <c r="K53">
        <v>0.83160000000000001</v>
      </c>
      <c r="L53">
        <v>50</v>
      </c>
      <c r="M53">
        <v>117.658</v>
      </c>
      <c r="N53">
        <v>60</v>
      </c>
      <c r="O53">
        <v>117.32299999999999</v>
      </c>
      <c r="P53">
        <v>43</v>
      </c>
      <c r="Q53">
        <v>102.40300000000001</v>
      </c>
      <c r="R53">
        <v>52</v>
      </c>
      <c r="S53">
        <v>103.17400000000001</v>
      </c>
      <c r="T53">
        <v>65</v>
      </c>
      <c r="U53">
        <v>73.204700000000003</v>
      </c>
      <c r="V53">
        <v>12</v>
      </c>
      <c r="W53">
        <v>71.567499999999995</v>
      </c>
      <c r="X53">
        <v>14</v>
      </c>
      <c r="Y53">
        <v>-2.6100000000000002E-2</v>
      </c>
      <c r="Z53">
        <v>257</v>
      </c>
      <c r="AA53">
        <v>2.8616999999999999</v>
      </c>
      <c r="AB53">
        <v>106</v>
      </c>
      <c r="AC53">
        <v>111.30200000000001</v>
      </c>
      <c r="AD53">
        <v>99</v>
      </c>
      <c r="AE53">
        <v>108.44</v>
      </c>
      <c r="AF53">
        <v>132</v>
      </c>
      <c r="AG53">
        <v>4.6188000000000002</v>
      </c>
      <c r="AH53">
        <v>76</v>
      </c>
      <c r="AJ53">
        <v>15.64</v>
      </c>
      <c r="AK53">
        <v>16</v>
      </c>
      <c r="AL53">
        <v>17.04</v>
      </c>
      <c r="AM53">
        <v>73</v>
      </c>
      <c r="AN53">
        <v>16.12</v>
      </c>
      <c r="AO53">
        <v>2</v>
      </c>
      <c r="AP53">
        <v>17.41</v>
      </c>
      <c r="AQ53">
        <v>5</v>
      </c>
    </row>
    <row r="54" spans="1:43" x14ac:dyDescent="0.2">
      <c r="A54" t="s">
        <v>1782</v>
      </c>
      <c r="B54">
        <v>2026</v>
      </c>
      <c r="C54" t="s">
        <v>691</v>
      </c>
      <c r="D54">
        <v>0</v>
      </c>
      <c r="E54" t="s">
        <v>883</v>
      </c>
      <c r="F54" t="s">
        <v>1835</v>
      </c>
      <c r="G54">
        <v>16</v>
      </c>
      <c r="H54">
        <v>17</v>
      </c>
      <c r="I54">
        <v>15.0847</v>
      </c>
      <c r="J54">
        <v>53</v>
      </c>
      <c r="K54">
        <v>0.8296</v>
      </c>
      <c r="L54">
        <v>53</v>
      </c>
      <c r="M54">
        <v>117.324</v>
      </c>
      <c r="N54">
        <v>64</v>
      </c>
      <c r="O54">
        <v>112.348</v>
      </c>
      <c r="P54">
        <v>101</v>
      </c>
      <c r="Q54">
        <v>102.239</v>
      </c>
      <c r="R54">
        <v>49</v>
      </c>
      <c r="S54">
        <v>107.758</v>
      </c>
      <c r="T54">
        <v>161</v>
      </c>
      <c r="U54">
        <v>67.931299999999993</v>
      </c>
      <c r="V54">
        <v>205</v>
      </c>
      <c r="W54">
        <v>67.102000000000004</v>
      </c>
      <c r="X54">
        <v>195</v>
      </c>
      <c r="Y54">
        <v>-0.10100000000000001</v>
      </c>
      <c r="Z54">
        <v>360</v>
      </c>
      <c r="AA54">
        <v>11.889099999999999</v>
      </c>
      <c r="AB54">
        <v>35</v>
      </c>
      <c r="AC54">
        <v>116.94199999999999</v>
      </c>
      <c r="AD54">
        <v>24</v>
      </c>
      <c r="AE54">
        <v>105.053</v>
      </c>
      <c r="AF54">
        <v>62</v>
      </c>
      <c r="AG54">
        <v>-0.72040000000000004</v>
      </c>
      <c r="AH54">
        <v>202</v>
      </c>
      <c r="AJ54">
        <v>17.690000000000001</v>
      </c>
      <c r="AK54">
        <v>199</v>
      </c>
      <c r="AL54">
        <v>17.84</v>
      </c>
      <c r="AM54">
        <v>256</v>
      </c>
      <c r="AN54">
        <v>18.350000000000001</v>
      </c>
      <c r="AO54">
        <v>8</v>
      </c>
      <c r="AP54">
        <v>18.23</v>
      </c>
      <c r="AQ54">
        <v>9</v>
      </c>
    </row>
    <row r="55" spans="1:43" x14ac:dyDescent="0.2">
      <c r="A55" t="s">
        <v>1782</v>
      </c>
      <c r="B55">
        <v>2026</v>
      </c>
      <c r="C55" t="s">
        <v>633</v>
      </c>
      <c r="D55">
        <v>0</v>
      </c>
      <c r="E55" t="s">
        <v>885</v>
      </c>
      <c r="F55" t="s">
        <v>1836</v>
      </c>
      <c r="G55">
        <v>21</v>
      </c>
      <c r="H55">
        <v>11</v>
      </c>
      <c r="I55">
        <v>14.9964</v>
      </c>
      <c r="J55">
        <v>54</v>
      </c>
      <c r="K55">
        <v>0.82140000000000002</v>
      </c>
      <c r="L55">
        <v>54</v>
      </c>
      <c r="M55">
        <v>120.693</v>
      </c>
      <c r="N55">
        <v>39</v>
      </c>
      <c r="O55">
        <v>113.61799999999999</v>
      </c>
      <c r="P55">
        <v>79</v>
      </c>
      <c r="Q55">
        <v>105.696</v>
      </c>
      <c r="R55">
        <v>101</v>
      </c>
      <c r="S55">
        <v>110.327</v>
      </c>
      <c r="T55">
        <v>229</v>
      </c>
      <c r="U55">
        <v>70.627700000000004</v>
      </c>
      <c r="V55">
        <v>71</v>
      </c>
      <c r="W55">
        <v>69.2226</v>
      </c>
      <c r="X55">
        <v>80</v>
      </c>
      <c r="Y55">
        <v>9.7000000000000003E-2</v>
      </c>
      <c r="Z55">
        <v>17</v>
      </c>
      <c r="AA55">
        <v>11.8667</v>
      </c>
      <c r="AB55">
        <v>36</v>
      </c>
      <c r="AC55">
        <v>115.035</v>
      </c>
      <c r="AD55">
        <v>62</v>
      </c>
      <c r="AE55">
        <v>103.169</v>
      </c>
      <c r="AF55">
        <v>12</v>
      </c>
      <c r="AG55">
        <v>-2.6267999999999998</v>
      </c>
      <c r="AH55">
        <v>259</v>
      </c>
      <c r="AJ55">
        <v>16.05</v>
      </c>
      <c r="AK55">
        <v>32</v>
      </c>
      <c r="AL55">
        <v>18.079999999999998</v>
      </c>
      <c r="AM55">
        <v>303</v>
      </c>
      <c r="AN55">
        <v>16.36</v>
      </c>
      <c r="AO55">
        <v>3</v>
      </c>
      <c r="AP55">
        <v>18</v>
      </c>
      <c r="AQ55">
        <v>14</v>
      </c>
    </row>
    <row r="56" spans="1:43" x14ac:dyDescent="0.2">
      <c r="A56" t="s">
        <v>1782</v>
      </c>
      <c r="B56">
        <v>2026</v>
      </c>
      <c r="C56" t="s">
        <v>619</v>
      </c>
      <c r="D56">
        <v>0</v>
      </c>
      <c r="E56" t="s">
        <v>940</v>
      </c>
      <c r="F56" t="s">
        <v>1837</v>
      </c>
      <c r="G56">
        <v>25</v>
      </c>
      <c r="H56">
        <v>6</v>
      </c>
      <c r="I56">
        <v>14.000999999999999</v>
      </c>
      <c r="J56">
        <v>55</v>
      </c>
      <c r="K56">
        <v>0.80200000000000005</v>
      </c>
      <c r="L56">
        <v>58</v>
      </c>
      <c r="M56">
        <v>122.245</v>
      </c>
      <c r="N56">
        <v>29</v>
      </c>
      <c r="O56">
        <v>123.01300000000001</v>
      </c>
      <c r="P56">
        <v>3</v>
      </c>
      <c r="Q56">
        <v>108.244</v>
      </c>
      <c r="R56">
        <v>146</v>
      </c>
      <c r="S56">
        <v>106.31699999999999</v>
      </c>
      <c r="T56">
        <v>119</v>
      </c>
      <c r="U56">
        <v>68.804699999999997</v>
      </c>
      <c r="V56">
        <v>159</v>
      </c>
      <c r="W56">
        <v>67.944199999999995</v>
      </c>
      <c r="X56">
        <v>143</v>
      </c>
      <c r="Y56">
        <v>1.5900000000000001E-2</v>
      </c>
      <c r="Z56">
        <v>141</v>
      </c>
      <c r="AA56">
        <v>8.0199999999999994E-2</v>
      </c>
      <c r="AB56">
        <v>148</v>
      </c>
      <c r="AC56">
        <v>109.312</v>
      </c>
      <c r="AD56">
        <v>153</v>
      </c>
      <c r="AE56">
        <v>109.232</v>
      </c>
      <c r="AF56">
        <v>159</v>
      </c>
      <c r="AG56">
        <v>-2.42</v>
      </c>
      <c r="AH56">
        <v>255</v>
      </c>
      <c r="AJ56">
        <v>16.89</v>
      </c>
      <c r="AK56">
        <v>92</v>
      </c>
      <c r="AL56">
        <v>17.95</v>
      </c>
      <c r="AM56">
        <v>284</v>
      </c>
      <c r="AN56">
        <v>16.809999999999999</v>
      </c>
      <c r="AO56">
        <v>4</v>
      </c>
      <c r="AP56">
        <v>18.25</v>
      </c>
      <c r="AQ56">
        <v>13</v>
      </c>
    </row>
    <row r="57" spans="1:43" x14ac:dyDescent="0.2">
      <c r="A57" t="s">
        <v>1782</v>
      </c>
      <c r="B57">
        <v>2026</v>
      </c>
      <c r="C57" t="s">
        <v>685</v>
      </c>
      <c r="D57">
        <v>0</v>
      </c>
      <c r="E57" t="s">
        <v>881</v>
      </c>
      <c r="F57" t="s">
        <v>1838</v>
      </c>
      <c r="G57">
        <v>19</v>
      </c>
      <c r="H57">
        <v>13</v>
      </c>
      <c r="I57">
        <v>13.6279</v>
      </c>
      <c r="J57">
        <v>56</v>
      </c>
      <c r="K57">
        <v>0.80510000000000004</v>
      </c>
      <c r="L57">
        <v>57</v>
      </c>
      <c r="M57">
        <v>117.423</v>
      </c>
      <c r="N57">
        <v>63</v>
      </c>
      <c r="O57">
        <v>112.861</v>
      </c>
      <c r="P57">
        <v>92</v>
      </c>
      <c r="Q57">
        <v>103.795</v>
      </c>
      <c r="R57">
        <v>70</v>
      </c>
      <c r="S57">
        <v>107.569</v>
      </c>
      <c r="T57">
        <v>149</v>
      </c>
      <c r="U57">
        <v>67.930199999999999</v>
      </c>
      <c r="V57">
        <v>206</v>
      </c>
      <c r="W57">
        <v>67.0291</v>
      </c>
      <c r="X57">
        <v>198</v>
      </c>
      <c r="Y57">
        <v>-1.04E-2</v>
      </c>
      <c r="Z57">
        <v>214</v>
      </c>
      <c r="AA57">
        <v>9.9139999999999997</v>
      </c>
      <c r="AB57">
        <v>68</v>
      </c>
      <c r="AC57">
        <v>115.19</v>
      </c>
      <c r="AD57">
        <v>57</v>
      </c>
      <c r="AE57">
        <v>105.276</v>
      </c>
      <c r="AF57">
        <v>68</v>
      </c>
      <c r="AG57">
        <v>-0.98480000000000001</v>
      </c>
      <c r="AH57">
        <v>213</v>
      </c>
      <c r="AJ57">
        <v>17.79</v>
      </c>
      <c r="AK57">
        <v>212</v>
      </c>
      <c r="AL57">
        <v>17.690000000000001</v>
      </c>
      <c r="AM57">
        <v>225</v>
      </c>
      <c r="AN57">
        <v>18.489999999999998</v>
      </c>
      <c r="AO57">
        <v>14</v>
      </c>
      <c r="AP57">
        <v>17.5</v>
      </c>
      <c r="AQ57">
        <v>6</v>
      </c>
    </row>
    <row r="58" spans="1:43" x14ac:dyDescent="0.2">
      <c r="A58" t="s">
        <v>1782</v>
      </c>
      <c r="B58">
        <v>2026</v>
      </c>
      <c r="C58" t="s">
        <v>187</v>
      </c>
      <c r="D58">
        <v>0</v>
      </c>
      <c r="E58" t="s">
        <v>881</v>
      </c>
      <c r="F58" t="s">
        <v>1839</v>
      </c>
      <c r="G58">
        <v>18</v>
      </c>
      <c r="H58">
        <v>15</v>
      </c>
      <c r="I58">
        <v>13.565799999999999</v>
      </c>
      <c r="J58">
        <v>57</v>
      </c>
      <c r="K58">
        <v>0.80169999999999997</v>
      </c>
      <c r="L58">
        <v>60</v>
      </c>
      <c r="M58">
        <v>118.616</v>
      </c>
      <c r="N58">
        <v>57</v>
      </c>
      <c r="O58">
        <v>112.155</v>
      </c>
      <c r="P58">
        <v>105</v>
      </c>
      <c r="Q58">
        <v>105.05</v>
      </c>
      <c r="R58">
        <v>92</v>
      </c>
      <c r="S58">
        <v>108.628</v>
      </c>
      <c r="T58">
        <v>182</v>
      </c>
      <c r="U58">
        <v>71.829499999999996</v>
      </c>
      <c r="V58">
        <v>29</v>
      </c>
      <c r="W58">
        <v>70.444699999999997</v>
      </c>
      <c r="X58">
        <v>31</v>
      </c>
      <c r="Y58">
        <v>-5.8999999999999999E-3</v>
      </c>
      <c r="Z58">
        <v>205</v>
      </c>
      <c r="AA58">
        <v>11.244899999999999</v>
      </c>
      <c r="AB58">
        <v>46</v>
      </c>
      <c r="AC58">
        <v>115.113</v>
      </c>
      <c r="AD58">
        <v>59</v>
      </c>
      <c r="AE58">
        <v>103.86799999999999</v>
      </c>
      <c r="AF58">
        <v>28</v>
      </c>
      <c r="AG58">
        <v>-3.2648999999999999</v>
      </c>
      <c r="AH58">
        <v>272</v>
      </c>
      <c r="AJ58">
        <v>15.93</v>
      </c>
      <c r="AK58">
        <v>26</v>
      </c>
      <c r="AL58">
        <v>17.690000000000001</v>
      </c>
      <c r="AM58">
        <v>226</v>
      </c>
      <c r="AN58">
        <v>17.03</v>
      </c>
      <c r="AO58">
        <v>5</v>
      </c>
      <c r="AP58">
        <v>18.309999999999999</v>
      </c>
      <c r="AQ58">
        <v>16</v>
      </c>
    </row>
    <row r="59" spans="1:43" x14ac:dyDescent="0.2">
      <c r="A59" t="s">
        <v>1782</v>
      </c>
      <c r="B59">
        <v>2026</v>
      </c>
      <c r="C59" t="s">
        <v>571</v>
      </c>
      <c r="D59">
        <v>0</v>
      </c>
      <c r="E59" t="s">
        <v>881</v>
      </c>
      <c r="F59" t="s">
        <v>1840</v>
      </c>
      <c r="G59">
        <v>20</v>
      </c>
      <c r="H59">
        <v>12</v>
      </c>
      <c r="I59">
        <v>13.4305</v>
      </c>
      <c r="J59">
        <v>58</v>
      </c>
      <c r="K59">
        <v>0.80200000000000005</v>
      </c>
      <c r="L59">
        <v>59</v>
      </c>
      <c r="M59">
        <v>117.288</v>
      </c>
      <c r="N59">
        <v>65</v>
      </c>
      <c r="O59">
        <v>111.54300000000001</v>
      </c>
      <c r="P59">
        <v>110</v>
      </c>
      <c r="Q59">
        <v>103.857</v>
      </c>
      <c r="R59">
        <v>72</v>
      </c>
      <c r="S59">
        <v>107.176</v>
      </c>
      <c r="T59">
        <v>138</v>
      </c>
      <c r="U59">
        <v>67.946899999999999</v>
      </c>
      <c r="V59">
        <v>204</v>
      </c>
      <c r="W59">
        <v>66.761399999999995</v>
      </c>
      <c r="X59">
        <v>216</v>
      </c>
      <c r="Y59">
        <v>3.0300000000000001E-2</v>
      </c>
      <c r="Z59">
        <v>108</v>
      </c>
      <c r="AA59">
        <v>8.7964000000000002</v>
      </c>
      <c r="AB59">
        <v>72</v>
      </c>
      <c r="AC59">
        <v>113.657</v>
      </c>
      <c r="AD59">
        <v>76</v>
      </c>
      <c r="AE59">
        <v>104.86</v>
      </c>
      <c r="AF59">
        <v>60</v>
      </c>
      <c r="AG59">
        <v>-0.40789999999999998</v>
      </c>
      <c r="AH59">
        <v>195</v>
      </c>
      <c r="AJ59">
        <v>17.97</v>
      </c>
      <c r="AK59">
        <v>234</v>
      </c>
      <c r="AL59">
        <v>17.55</v>
      </c>
      <c r="AM59">
        <v>183</v>
      </c>
      <c r="AN59">
        <v>18.71</v>
      </c>
      <c r="AO59">
        <v>16</v>
      </c>
      <c r="AP59">
        <v>17.98</v>
      </c>
      <c r="AQ59">
        <v>13</v>
      </c>
    </row>
    <row r="60" spans="1:43" x14ac:dyDescent="0.2">
      <c r="A60" t="s">
        <v>1782</v>
      </c>
      <c r="B60">
        <v>2026</v>
      </c>
      <c r="C60" t="s">
        <v>433</v>
      </c>
      <c r="D60">
        <v>0</v>
      </c>
      <c r="E60" t="s">
        <v>883</v>
      </c>
      <c r="F60" t="s">
        <v>1841</v>
      </c>
      <c r="G60">
        <v>15</v>
      </c>
      <c r="H60">
        <v>19</v>
      </c>
      <c r="I60">
        <v>13.3681</v>
      </c>
      <c r="J60">
        <v>59</v>
      </c>
      <c r="K60">
        <v>0.80010000000000003</v>
      </c>
      <c r="L60">
        <v>61</v>
      </c>
      <c r="M60">
        <v>117.649</v>
      </c>
      <c r="N60">
        <v>62</v>
      </c>
      <c r="O60">
        <v>111.465</v>
      </c>
      <c r="P60">
        <v>111</v>
      </c>
      <c r="Q60">
        <v>104.28100000000001</v>
      </c>
      <c r="R60">
        <v>78</v>
      </c>
      <c r="S60">
        <v>110.143</v>
      </c>
      <c r="T60">
        <v>223</v>
      </c>
      <c r="U60">
        <v>65.334400000000002</v>
      </c>
      <c r="V60">
        <v>323</v>
      </c>
      <c r="W60">
        <v>65.047899999999998</v>
      </c>
      <c r="X60">
        <v>306</v>
      </c>
      <c r="Y60">
        <v>-7.9399999999999998E-2</v>
      </c>
      <c r="Z60">
        <v>343</v>
      </c>
      <c r="AA60">
        <v>13.1334</v>
      </c>
      <c r="AB60">
        <v>22</v>
      </c>
      <c r="AC60">
        <v>117.286</v>
      </c>
      <c r="AD60">
        <v>19</v>
      </c>
      <c r="AE60">
        <v>104.15300000000001</v>
      </c>
      <c r="AF60">
        <v>37</v>
      </c>
      <c r="AG60">
        <v>-1.7439</v>
      </c>
      <c r="AH60">
        <v>234</v>
      </c>
      <c r="AJ60">
        <v>17.79</v>
      </c>
      <c r="AK60">
        <v>210</v>
      </c>
      <c r="AL60">
        <v>19.16</v>
      </c>
      <c r="AM60">
        <v>364</v>
      </c>
      <c r="AN60">
        <v>18.510000000000002</v>
      </c>
      <c r="AO60">
        <v>10</v>
      </c>
      <c r="AP60">
        <v>19.07</v>
      </c>
      <c r="AQ60">
        <v>16</v>
      </c>
    </row>
    <row r="61" spans="1:43" x14ac:dyDescent="0.2">
      <c r="A61" t="s">
        <v>1782</v>
      </c>
      <c r="B61">
        <v>2026</v>
      </c>
      <c r="C61" t="s">
        <v>699</v>
      </c>
      <c r="D61">
        <v>0</v>
      </c>
      <c r="E61" t="s">
        <v>885</v>
      </c>
      <c r="F61" t="s">
        <v>1842</v>
      </c>
      <c r="G61">
        <v>18</v>
      </c>
      <c r="H61">
        <v>14</v>
      </c>
      <c r="I61">
        <v>13.253399999999999</v>
      </c>
      <c r="J61">
        <v>60</v>
      </c>
      <c r="K61">
        <v>0.81369999999999998</v>
      </c>
      <c r="L61">
        <v>55</v>
      </c>
      <c r="M61">
        <v>110.148</v>
      </c>
      <c r="N61">
        <v>155</v>
      </c>
      <c r="O61">
        <v>106.813</v>
      </c>
      <c r="P61">
        <v>212</v>
      </c>
      <c r="Q61">
        <v>96.894900000000007</v>
      </c>
      <c r="R61">
        <v>17</v>
      </c>
      <c r="S61">
        <v>99.918499999999995</v>
      </c>
      <c r="T61">
        <v>28</v>
      </c>
      <c r="U61">
        <v>63.959800000000001</v>
      </c>
      <c r="V61">
        <v>357</v>
      </c>
      <c r="W61">
        <v>62.258899999999997</v>
      </c>
      <c r="X61">
        <v>364</v>
      </c>
      <c r="Y61">
        <v>-3.2800000000000003E-2</v>
      </c>
      <c r="Z61">
        <v>279</v>
      </c>
      <c r="AA61">
        <v>9.2865000000000002</v>
      </c>
      <c r="AB61">
        <v>71</v>
      </c>
      <c r="AC61">
        <v>114.342</v>
      </c>
      <c r="AD61">
        <v>68</v>
      </c>
      <c r="AE61">
        <v>105.05500000000001</v>
      </c>
      <c r="AF61">
        <v>63</v>
      </c>
      <c r="AG61">
        <v>-8.3162000000000003</v>
      </c>
      <c r="AH61">
        <v>349</v>
      </c>
      <c r="AJ61">
        <v>19.34</v>
      </c>
      <c r="AK61">
        <v>350</v>
      </c>
      <c r="AL61">
        <v>18.07</v>
      </c>
      <c r="AM61">
        <v>300</v>
      </c>
      <c r="AN61">
        <v>20.29</v>
      </c>
      <c r="AO61">
        <v>16</v>
      </c>
      <c r="AP61">
        <v>17.48</v>
      </c>
      <c r="AQ61">
        <v>8</v>
      </c>
    </row>
    <row r="62" spans="1:43" x14ac:dyDescent="0.2">
      <c r="A62" t="s">
        <v>1782</v>
      </c>
      <c r="B62">
        <v>2026</v>
      </c>
      <c r="C62" t="s">
        <v>215</v>
      </c>
      <c r="D62">
        <v>0</v>
      </c>
      <c r="E62" t="s">
        <v>918</v>
      </c>
      <c r="F62" t="s">
        <v>1843</v>
      </c>
      <c r="G62">
        <v>20</v>
      </c>
      <c r="H62">
        <v>12</v>
      </c>
      <c r="I62">
        <v>13.2247</v>
      </c>
      <c r="J62">
        <v>61</v>
      </c>
      <c r="K62">
        <v>0.81120000000000003</v>
      </c>
      <c r="L62">
        <v>56</v>
      </c>
      <c r="M62">
        <v>111.05500000000001</v>
      </c>
      <c r="N62">
        <v>138</v>
      </c>
      <c r="O62">
        <v>109.15900000000001</v>
      </c>
      <c r="P62">
        <v>159</v>
      </c>
      <c r="Q62">
        <v>97.83</v>
      </c>
      <c r="R62">
        <v>21</v>
      </c>
      <c r="S62">
        <v>99.150899999999993</v>
      </c>
      <c r="T62">
        <v>23</v>
      </c>
      <c r="U62">
        <v>69.010099999999994</v>
      </c>
      <c r="V62">
        <v>152</v>
      </c>
      <c r="W62">
        <v>67.994100000000003</v>
      </c>
      <c r="X62">
        <v>140</v>
      </c>
      <c r="Y62">
        <v>-6.7900000000000002E-2</v>
      </c>
      <c r="Z62">
        <v>333</v>
      </c>
      <c r="AA62">
        <v>3.7974999999999999</v>
      </c>
      <c r="AB62">
        <v>100</v>
      </c>
      <c r="AC62">
        <v>111.92</v>
      </c>
      <c r="AD62">
        <v>94</v>
      </c>
      <c r="AE62">
        <v>108.123</v>
      </c>
      <c r="AF62">
        <v>119</v>
      </c>
      <c r="AG62">
        <v>-5.8030999999999997</v>
      </c>
      <c r="AH62">
        <v>314</v>
      </c>
      <c r="AJ62">
        <v>18.05</v>
      </c>
      <c r="AK62">
        <v>245</v>
      </c>
      <c r="AL62">
        <v>16.98</v>
      </c>
      <c r="AM62">
        <v>62</v>
      </c>
      <c r="AN62">
        <v>18.48</v>
      </c>
      <c r="AO62">
        <v>8</v>
      </c>
      <c r="AP62">
        <v>16.91</v>
      </c>
      <c r="AQ62">
        <v>2</v>
      </c>
    </row>
    <row r="63" spans="1:43" x14ac:dyDescent="0.2">
      <c r="A63" t="s">
        <v>1782</v>
      </c>
      <c r="B63">
        <v>2026</v>
      </c>
      <c r="C63" t="s">
        <v>55</v>
      </c>
      <c r="D63">
        <v>0</v>
      </c>
      <c r="E63" t="s">
        <v>918</v>
      </c>
      <c r="F63" t="s">
        <v>1844</v>
      </c>
      <c r="G63">
        <v>20</v>
      </c>
      <c r="H63">
        <v>12</v>
      </c>
      <c r="I63">
        <v>13.188800000000001</v>
      </c>
      <c r="J63">
        <v>62</v>
      </c>
      <c r="K63">
        <v>0.79810000000000003</v>
      </c>
      <c r="L63">
        <v>62</v>
      </c>
      <c r="M63">
        <v>117.05800000000001</v>
      </c>
      <c r="N63">
        <v>69</v>
      </c>
      <c r="O63">
        <v>113.48099999999999</v>
      </c>
      <c r="P63">
        <v>83</v>
      </c>
      <c r="Q63">
        <v>103.869</v>
      </c>
      <c r="R63">
        <v>73</v>
      </c>
      <c r="S63">
        <v>107.18600000000001</v>
      </c>
      <c r="T63">
        <v>139</v>
      </c>
      <c r="U63">
        <v>66.561199999999999</v>
      </c>
      <c r="V63">
        <v>269</v>
      </c>
      <c r="W63">
        <v>65.723100000000002</v>
      </c>
      <c r="X63">
        <v>270</v>
      </c>
      <c r="Y63">
        <v>2.8299999999999999E-2</v>
      </c>
      <c r="Z63">
        <v>114</v>
      </c>
      <c r="AA63">
        <v>8.4423999999999992</v>
      </c>
      <c r="AB63">
        <v>74</v>
      </c>
      <c r="AC63">
        <v>114.428</v>
      </c>
      <c r="AD63">
        <v>67</v>
      </c>
      <c r="AE63">
        <v>105.986</v>
      </c>
      <c r="AF63">
        <v>77</v>
      </c>
      <c r="AG63">
        <v>7.6654999999999998</v>
      </c>
      <c r="AH63">
        <v>36</v>
      </c>
      <c r="AJ63">
        <v>18.059999999999999</v>
      </c>
      <c r="AK63">
        <v>246</v>
      </c>
      <c r="AL63">
        <v>18.010000000000002</v>
      </c>
      <c r="AM63">
        <v>294</v>
      </c>
      <c r="AN63">
        <v>18.3</v>
      </c>
      <c r="AO63">
        <v>7</v>
      </c>
      <c r="AP63">
        <v>18.64</v>
      </c>
      <c r="AQ63">
        <v>12</v>
      </c>
    </row>
    <row r="64" spans="1:43" x14ac:dyDescent="0.2">
      <c r="A64" t="s">
        <v>1782</v>
      </c>
      <c r="B64">
        <v>2026</v>
      </c>
      <c r="C64" t="s">
        <v>281</v>
      </c>
      <c r="D64">
        <v>0</v>
      </c>
      <c r="E64" t="s">
        <v>887</v>
      </c>
      <c r="F64" t="s">
        <v>1845</v>
      </c>
      <c r="G64">
        <v>15</v>
      </c>
      <c r="H64">
        <v>17</v>
      </c>
      <c r="I64">
        <v>13.174899999999999</v>
      </c>
      <c r="J64">
        <v>63</v>
      </c>
      <c r="K64">
        <v>0.7923</v>
      </c>
      <c r="L64">
        <v>63</v>
      </c>
      <c r="M64">
        <v>119.861</v>
      </c>
      <c r="N64">
        <v>47</v>
      </c>
      <c r="O64">
        <v>115.491</v>
      </c>
      <c r="P64">
        <v>56</v>
      </c>
      <c r="Q64">
        <v>106.68600000000001</v>
      </c>
      <c r="R64">
        <v>119</v>
      </c>
      <c r="S64">
        <v>111.652</v>
      </c>
      <c r="T64">
        <v>261</v>
      </c>
      <c r="U64">
        <v>68.695800000000006</v>
      </c>
      <c r="V64">
        <v>164</v>
      </c>
      <c r="W64">
        <v>66.613500000000002</v>
      </c>
      <c r="X64">
        <v>225</v>
      </c>
      <c r="Y64">
        <v>-9.2399999999999996E-2</v>
      </c>
      <c r="Z64">
        <v>353</v>
      </c>
      <c r="AA64">
        <v>10.863</v>
      </c>
      <c r="AB64">
        <v>57</v>
      </c>
      <c r="AC64">
        <v>115.881</v>
      </c>
      <c r="AD64">
        <v>42</v>
      </c>
      <c r="AE64">
        <v>105.018</v>
      </c>
      <c r="AF64">
        <v>61</v>
      </c>
      <c r="AG64">
        <v>-4.8021000000000003</v>
      </c>
      <c r="AH64">
        <v>298</v>
      </c>
      <c r="AJ64">
        <v>17.27</v>
      </c>
      <c r="AK64">
        <v>145</v>
      </c>
      <c r="AL64">
        <v>17.61</v>
      </c>
      <c r="AM64">
        <v>202</v>
      </c>
      <c r="AN64">
        <v>18.09</v>
      </c>
      <c r="AO64">
        <v>13</v>
      </c>
      <c r="AP64">
        <v>17.59</v>
      </c>
      <c r="AQ64">
        <v>11</v>
      </c>
    </row>
    <row r="65" spans="1:43" x14ac:dyDescent="0.2">
      <c r="A65" t="s">
        <v>1782</v>
      </c>
      <c r="B65">
        <v>2026</v>
      </c>
      <c r="C65" t="s">
        <v>7</v>
      </c>
      <c r="D65">
        <v>0</v>
      </c>
      <c r="E65" t="s">
        <v>953</v>
      </c>
      <c r="F65" t="s">
        <v>1846</v>
      </c>
      <c r="G65">
        <v>27</v>
      </c>
      <c r="H65">
        <v>5</v>
      </c>
      <c r="I65">
        <v>13.004799999999999</v>
      </c>
      <c r="J65">
        <v>64</v>
      </c>
      <c r="K65">
        <v>0.78969999999999996</v>
      </c>
      <c r="L65">
        <v>65</v>
      </c>
      <c r="M65">
        <v>119.678</v>
      </c>
      <c r="N65">
        <v>50</v>
      </c>
      <c r="O65">
        <v>122.53</v>
      </c>
      <c r="P65">
        <v>6</v>
      </c>
      <c r="Q65">
        <v>106.673</v>
      </c>
      <c r="R65">
        <v>118</v>
      </c>
      <c r="S65">
        <v>104.502</v>
      </c>
      <c r="T65">
        <v>84</v>
      </c>
      <c r="U65">
        <v>71.418700000000001</v>
      </c>
      <c r="V65">
        <v>39</v>
      </c>
      <c r="W65">
        <v>70.575000000000003</v>
      </c>
      <c r="X65">
        <v>28</v>
      </c>
      <c r="Y65">
        <v>3.8E-3</v>
      </c>
      <c r="Z65">
        <v>180</v>
      </c>
      <c r="AA65">
        <v>-4.1729000000000003</v>
      </c>
      <c r="AB65">
        <v>252</v>
      </c>
      <c r="AC65">
        <v>108.23</v>
      </c>
      <c r="AD65">
        <v>219</v>
      </c>
      <c r="AE65">
        <v>112.40300000000001</v>
      </c>
      <c r="AF65">
        <v>290</v>
      </c>
      <c r="AG65">
        <v>-3.1450999999999998</v>
      </c>
      <c r="AH65">
        <v>268</v>
      </c>
      <c r="AJ65">
        <v>15.95</v>
      </c>
      <c r="AK65">
        <v>27</v>
      </c>
      <c r="AL65">
        <v>17.62</v>
      </c>
      <c r="AM65">
        <v>204</v>
      </c>
      <c r="AN65">
        <v>16.309999999999999</v>
      </c>
      <c r="AO65">
        <v>2</v>
      </c>
      <c r="AP65">
        <v>17.420000000000002</v>
      </c>
      <c r="AQ65">
        <v>9</v>
      </c>
    </row>
    <row r="66" spans="1:43" x14ac:dyDescent="0.2">
      <c r="A66" t="s">
        <v>1782</v>
      </c>
      <c r="B66">
        <v>2026</v>
      </c>
      <c r="C66" t="s">
        <v>445</v>
      </c>
      <c r="D66">
        <v>0</v>
      </c>
      <c r="E66" t="s">
        <v>885</v>
      </c>
      <c r="F66" t="s">
        <v>1847</v>
      </c>
      <c r="G66">
        <v>19</v>
      </c>
      <c r="H66">
        <v>14</v>
      </c>
      <c r="I66">
        <v>12.543699999999999</v>
      </c>
      <c r="J66">
        <v>65</v>
      </c>
      <c r="K66">
        <v>0.78029999999999999</v>
      </c>
      <c r="L66">
        <v>68</v>
      </c>
      <c r="M66">
        <v>120.197</v>
      </c>
      <c r="N66">
        <v>44</v>
      </c>
      <c r="O66">
        <v>112.35299999999999</v>
      </c>
      <c r="P66">
        <v>100</v>
      </c>
      <c r="Q66">
        <v>107.65300000000001</v>
      </c>
      <c r="R66">
        <v>137</v>
      </c>
      <c r="S66">
        <v>111.143</v>
      </c>
      <c r="T66">
        <v>245</v>
      </c>
      <c r="U66">
        <v>74.066199999999995</v>
      </c>
      <c r="V66">
        <v>6</v>
      </c>
      <c r="W66">
        <v>72.033900000000003</v>
      </c>
      <c r="X66">
        <v>9</v>
      </c>
      <c r="Y66">
        <v>5.1799999999999999E-2</v>
      </c>
      <c r="Z66">
        <v>58</v>
      </c>
      <c r="AA66">
        <v>12.133599999999999</v>
      </c>
      <c r="AB66">
        <v>32</v>
      </c>
      <c r="AC66">
        <v>115.264</v>
      </c>
      <c r="AD66">
        <v>54</v>
      </c>
      <c r="AE66">
        <v>103.13</v>
      </c>
      <c r="AF66">
        <v>11</v>
      </c>
      <c r="AG66">
        <v>-1.0590999999999999</v>
      </c>
      <c r="AH66">
        <v>217</v>
      </c>
      <c r="AJ66">
        <v>16.149999999999999</v>
      </c>
      <c r="AK66">
        <v>36</v>
      </c>
      <c r="AL66">
        <v>16.440000000000001</v>
      </c>
      <c r="AM66">
        <v>9</v>
      </c>
      <c r="AN66">
        <v>16.62</v>
      </c>
      <c r="AO66">
        <v>4</v>
      </c>
      <c r="AP66">
        <v>16.84</v>
      </c>
      <c r="AQ66">
        <v>2</v>
      </c>
    </row>
    <row r="67" spans="1:43" x14ac:dyDescent="0.2">
      <c r="A67" t="s">
        <v>1782</v>
      </c>
      <c r="B67">
        <v>2026</v>
      </c>
      <c r="C67" t="s">
        <v>335</v>
      </c>
      <c r="D67">
        <v>0</v>
      </c>
      <c r="E67" t="s">
        <v>956</v>
      </c>
      <c r="F67" t="s">
        <v>1848</v>
      </c>
      <c r="G67">
        <v>28</v>
      </c>
      <c r="H67">
        <v>5</v>
      </c>
      <c r="I67">
        <v>12.531599999999999</v>
      </c>
      <c r="J67">
        <v>66</v>
      </c>
      <c r="K67">
        <v>0.79149999999999998</v>
      </c>
      <c r="L67">
        <v>64</v>
      </c>
      <c r="M67">
        <v>114.43899999999999</v>
      </c>
      <c r="N67">
        <v>91</v>
      </c>
      <c r="O67">
        <v>114.794</v>
      </c>
      <c r="P67">
        <v>64</v>
      </c>
      <c r="Q67">
        <v>101.907</v>
      </c>
      <c r="R67">
        <v>45</v>
      </c>
      <c r="S67">
        <v>99.825699999999998</v>
      </c>
      <c r="T67">
        <v>27</v>
      </c>
      <c r="U67">
        <v>66.482399999999998</v>
      </c>
      <c r="V67">
        <v>279</v>
      </c>
      <c r="W67">
        <v>66.177499999999995</v>
      </c>
      <c r="X67">
        <v>246</v>
      </c>
      <c r="Y67">
        <v>8.43E-2</v>
      </c>
      <c r="Z67">
        <v>21</v>
      </c>
      <c r="AA67">
        <v>-1.8653999999999999</v>
      </c>
      <c r="AB67">
        <v>201</v>
      </c>
      <c r="AC67">
        <v>107.71599999999999</v>
      </c>
      <c r="AD67">
        <v>250</v>
      </c>
      <c r="AE67">
        <v>109.581</v>
      </c>
      <c r="AF67">
        <v>170</v>
      </c>
      <c r="AG67">
        <v>9.1676000000000002</v>
      </c>
      <c r="AH67">
        <v>21</v>
      </c>
      <c r="AJ67">
        <v>16.61</v>
      </c>
      <c r="AK67">
        <v>68</v>
      </c>
      <c r="AL67">
        <v>19.2</v>
      </c>
      <c r="AM67">
        <v>365</v>
      </c>
      <c r="AN67">
        <v>16.52</v>
      </c>
      <c r="AO67">
        <v>1</v>
      </c>
      <c r="AP67">
        <v>19.809999999999999</v>
      </c>
      <c r="AQ67">
        <v>12</v>
      </c>
    </row>
    <row r="68" spans="1:43" x14ac:dyDescent="0.2">
      <c r="A68" t="s">
        <v>1782</v>
      </c>
      <c r="B68">
        <v>2026</v>
      </c>
      <c r="C68" t="s">
        <v>23</v>
      </c>
      <c r="D68">
        <v>0</v>
      </c>
      <c r="E68" t="s">
        <v>885</v>
      </c>
      <c r="F68" t="s">
        <v>1849</v>
      </c>
      <c r="G68">
        <v>17</v>
      </c>
      <c r="H68">
        <v>16</v>
      </c>
      <c r="I68">
        <v>12.492900000000001</v>
      </c>
      <c r="J68">
        <v>67</v>
      </c>
      <c r="K68">
        <v>0.78759999999999997</v>
      </c>
      <c r="L68">
        <v>66</v>
      </c>
      <c r="M68">
        <v>115.983</v>
      </c>
      <c r="N68">
        <v>78</v>
      </c>
      <c r="O68">
        <v>108.14</v>
      </c>
      <c r="P68">
        <v>181</v>
      </c>
      <c r="Q68">
        <v>103.49</v>
      </c>
      <c r="R68">
        <v>65</v>
      </c>
      <c r="S68">
        <v>110.79300000000001</v>
      </c>
      <c r="T68">
        <v>237</v>
      </c>
      <c r="U68">
        <v>70.615499999999997</v>
      </c>
      <c r="V68">
        <v>73</v>
      </c>
      <c r="W68">
        <v>69.250200000000007</v>
      </c>
      <c r="X68">
        <v>79</v>
      </c>
      <c r="Y68">
        <v>6.2300000000000001E-2</v>
      </c>
      <c r="Z68">
        <v>43</v>
      </c>
      <c r="AA68">
        <v>14.4419</v>
      </c>
      <c r="AB68">
        <v>10</v>
      </c>
      <c r="AC68">
        <v>117.687</v>
      </c>
      <c r="AD68">
        <v>14</v>
      </c>
      <c r="AE68">
        <v>103.245</v>
      </c>
      <c r="AF68">
        <v>14</v>
      </c>
      <c r="AG68">
        <v>5.7035</v>
      </c>
      <c r="AH68">
        <v>57</v>
      </c>
      <c r="AJ68">
        <v>17.149999999999999</v>
      </c>
      <c r="AK68">
        <v>129</v>
      </c>
      <c r="AL68">
        <v>16.8</v>
      </c>
      <c r="AM68">
        <v>35</v>
      </c>
      <c r="AN68">
        <v>17.579999999999998</v>
      </c>
      <c r="AO68">
        <v>10</v>
      </c>
      <c r="AP68">
        <v>16.399999999999999</v>
      </c>
      <c r="AQ68">
        <v>1</v>
      </c>
    </row>
    <row r="69" spans="1:43" x14ac:dyDescent="0.2">
      <c r="A69" t="s">
        <v>1782</v>
      </c>
      <c r="B69">
        <v>2026</v>
      </c>
      <c r="C69" t="s">
        <v>49</v>
      </c>
      <c r="D69">
        <v>0</v>
      </c>
      <c r="E69" t="s">
        <v>959</v>
      </c>
      <c r="F69" t="s">
        <v>1850</v>
      </c>
      <c r="G69">
        <v>26</v>
      </c>
      <c r="H69">
        <v>6</v>
      </c>
      <c r="I69">
        <v>12.2523</v>
      </c>
      <c r="J69">
        <v>68</v>
      </c>
      <c r="K69">
        <v>0.77380000000000004</v>
      </c>
      <c r="L69">
        <v>71</v>
      </c>
      <c r="M69">
        <v>120.825</v>
      </c>
      <c r="N69">
        <v>38</v>
      </c>
      <c r="O69">
        <v>118.78</v>
      </c>
      <c r="P69">
        <v>30</v>
      </c>
      <c r="Q69">
        <v>108.57299999999999</v>
      </c>
      <c r="R69">
        <v>153</v>
      </c>
      <c r="S69">
        <v>105.399</v>
      </c>
      <c r="T69">
        <v>101</v>
      </c>
      <c r="U69">
        <v>69.968999999999994</v>
      </c>
      <c r="V69">
        <v>96</v>
      </c>
      <c r="W69">
        <v>68.927499999999995</v>
      </c>
      <c r="X69">
        <v>96</v>
      </c>
      <c r="Y69">
        <v>3.4599999999999999E-2</v>
      </c>
      <c r="Z69">
        <v>99</v>
      </c>
      <c r="AA69">
        <v>-0.16489999999999999</v>
      </c>
      <c r="AB69">
        <v>153</v>
      </c>
      <c r="AC69">
        <v>108.313</v>
      </c>
      <c r="AD69">
        <v>215</v>
      </c>
      <c r="AE69">
        <v>108.47799999999999</v>
      </c>
      <c r="AF69">
        <v>134</v>
      </c>
      <c r="AG69">
        <v>-4.7141000000000002</v>
      </c>
      <c r="AH69">
        <v>297</v>
      </c>
      <c r="AJ69">
        <v>15.83</v>
      </c>
      <c r="AK69">
        <v>21</v>
      </c>
      <c r="AL69">
        <v>18.29</v>
      </c>
      <c r="AM69">
        <v>334</v>
      </c>
      <c r="AN69">
        <v>16.09</v>
      </c>
      <c r="AO69">
        <v>1</v>
      </c>
      <c r="AP69">
        <v>18.8</v>
      </c>
      <c r="AQ69">
        <v>10</v>
      </c>
    </row>
    <row r="70" spans="1:43" x14ac:dyDescent="0.2">
      <c r="A70" t="s">
        <v>1782</v>
      </c>
      <c r="B70">
        <v>2026</v>
      </c>
      <c r="C70" t="s">
        <v>117</v>
      </c>
      <c r="D70">
        <v>0</v>
      </c>
      <c r="E70" t="s">
        <v>885</v>
      </c>
      <c r="F70" t="s">
        <v>1851</v>
      </c>
      <c r="G70">
        <v>17</v>
      </c>
      <c r="H70">
        <v>15</v>
      </c>
      <c r="I70">
        <v>12.089600000000001</v>
      </c>
      <c r="J70">
        <v>69</v>
      </c>
      <c r="K70">
        <v>0.77400000000000002</v>
      </c>
      <c r="L70">
        <v>70</v>
      </c>
      <c r="M70">
        <v>119.09099999999999</v>
      </c>
      <c r="N70">
        <v>55</v>
      </c>
      <c r="O70">
        <v>113.13200000000001</v>
      </c>
      <c r="P70">
        <v>88</v>
      </c>
      <c r="Q70">
        <v>107.001</v>
      </c>
      <c r="R70">
        <v>125</v>
      </c>
      <c r="S70">
        <v>112.691</v>
      </c>
      <c r="T70">
        <v>285</v>
      </c>
      <c r="U70">
        <v>70.090500000000006</v>
      </c>
      <c r="V70">
        <v>90</v>
      </c>
      <c r="W70">
        <v>68.712500000000006</v>
      </c>
      <c r="X70">
        <v>107</v>
      </c>
      <c r="Y70">
        <v>2.3900000000000001E-2</v>
      </c>
      <c r="Z70">
        <v>126</v>
      </c>
      <c r="AA70">
        <v>10.807399999999999</v>
      </c>
      <c r="AB70">
        <v>59</v>
      </c>
      <c r="AC70">
        <v>115.43600000000001</v>
      </c>
      <c r="AD70">
        <v>49</v>
      </c>
      <c r="AE70">
        <v>104.629</v>
      </c>
      <c r="AF70">
        <v>53</v>
      </c>
      <c r="AG70">
        <v>3.8999999999999998E-3</v>
      </c>
      <c r="AH70">
        <v>186</v>
      </c>
      <c r="AJ70">
        <v>16.86</v>
      </c>
      <c r="AK70">
        <v>89</v>
      </c>
      <c r="AL70">
        <v>17.38</v>
      </c>
      <c r="AM70">
        <v>144</v>
      </c>
      <c r="AN70">
        <v>17.32</v>
      </c>
      <c r="AO70">
        <v>9</v>
      </c>
      <c r="AP70">
        <v>17.3</v>
      </c>
      <c r="AQ70">
        <v>6</v>
      </c>
    </row>
    <row r="71" spans="1:43" x14ac:dyDescent="0.2">
      <c r="A71" t="s">
        <v>1782</v>
      </c>
      <c r="B71">
        <v>2026</v>
      </c>
      <c r="C71" t="s">
        <v>427</v>
      </c>
      <c r="D71">
        <v>0</v>
      </c>
      <c r="E71" t="s">
        <v>959</v>
      </c>
      <c r="F71" t="s">
        <v>1852</v>
      </c>
      <c r="G71">
        <v>23</v>
      </c>
      <c r="H71">
        <v>12</v>
      </c>
      <c r="I71">
        <v>11.8512</v>
      </c>
      <c r="J71">
        <v>70</v>
      </c>
      <c r="K71">
        <v>0.7873</v>
      </c>
      <c r="L71">
        <v>67</v>
      </c>
      <c r="M71">
        <v>110.188</v>
      </c>
      <c r="N71">
        <v>153</v>
      </c>
      <c r="O71">
        <v>108.087</v>
      </c>
      <c r="P71">
        <v>184</v>
      </c>
      <c r="Q71">
        <v>98.337000000000003</v>
      </c>
      <c r="R71">
        <v>25</v>
      </c>
      <c r="S71">
        <v>97.139499999999998</v>
      </c>
      <c r="T71">
        <v>10</v>
      </c>
      <c r="U71">
        <v>63.412100000000002</v>
      </c>
      <c r="V71">
        <v>362</v>
      </c>
      <c r="W71">
        <v>62.292900000000003</v>
      </c>
      <c r="X71">
        <v>363</v>
      </c>
      <c r="Y71">
        <v>-7.0000000000000007E-2</v>
      </c>
      <c r="Z71">
        <v>334</v>
      </c>
      <c r="AA71">
        <v>1.2805</v>
      </c>
      <c r="AB71">
        <v>122</v>
      </c>
      <c r="AC71">
        <v>109.648</v>
      </c>
      <c r="AD71">
        <v>142</v>
      </c>
      <c r="AE71">
        <v>108.36799999999999</v>
      </c>
      <c r="AF71">
        <v>127</v>
      </c>
      <c r="AG71">
        <v>-0.78749999999999998</v>
      </c>
      <c r="AH71">
        <v>206</v>
      </c>
      <c r="AJ71">
        <v>18.850000000000001</v>
      </c>
      <c r="AK71">
        <v>321</v>
      </c>
      <c r="AL71">
        <v>18.7</v>
      </c>
      <c r="AM71">
        <v>356</v>
      </c>
      <c r="AN71">
        <v>18.84</v>
      </c>
      <c r="AO71">
        <v>10</v>
      </c>
      <c r="AP71">
        <v>18.899999999999999</v>
      </c>
      <c r="AQ71">
        <v>11</v>
      </c>
    </row>
    <row r="72" spans="1:43" x14ac:dyDescent="0.2">
      <c r="A72" t="s">
        <v>1782</v>
      </c>
      <c r="B72">
        <v>2026</v>
      </c>
      <c r="C72" t="s">
        <v>477</v>
      </c>
      <c r="D72">
        <v>0</v>
      </c>
      <c r="E72" t="s">
        <v>894</v>
      </c>
      <c r="F72" t="s">
        <v>1853</v>
      </c>
      <c r="G72">
        <v>15</v>
      </c>
      <c r="H72">
        <v>18</v>
      </c>
      <c r="I72">
        <v>11.7591</v>
      </c>
      <c r="J72">
        <v>71</v>
      </c>
      <c r="K72">
        <v>0.76390000000000002</v>
      </c>
      <c r="L72">
        <v>76</v>
      </c>
      <c r="M72">
        <v>121.136</v>
      </c>
      <c r="N72">
        <v>37</v>
      </c>
      <c r="O72">
        <v>115.02800000000001</v>
      </c>
      <c r="P72">
        <v>63</v>
      </c>
      <c r="Q72">
        <v>109.377</v>
      </c>
      <c r="R72">
        <v>175</v>
      </c>
      <c r="S72">
        <v>112.914</v>
      </c>
      <c r="T72">
        <v>292</v>
      </c>
      <c r="U72">
        <v>72.350800000000007</v>
      </c>
      <c r="V72">
        <v>20</v>
      </c>
      <c r="W72">
        <v>71.232100000000003</v>
      </c>
      <c r="X72">
        <v>21</v>
      </c>
      <c r="Y72">
        <v>-9.0300000000000005E-2</v>
      </c>
      <c r="Z72">
        <v>350</v>
      </c>
      <c r="AA72">
        <v>10.9101</v>
      </c>
      <c r="AB72">
        <v>54</v>
      </c>
      <c r="AC72">
        <v>114.23399999999999</v>
      </c>
      <c r="AD72">
        <v>69</v>
      </c>
      <c r="AE72">
        <v>103.324</v>
      </c>
      <c r="AF72">
        <v>16</v>
      </c>
      <c r="AG72">
        <v>-0.73619999999999997</v>
      </c>
      <c r="AH72">
        <v>204</v>
      </c>
      <c r="AJ72">
        <v>16.309999999999999</v>
      </c>
      <c r="AK72">
        <v>45</v>
      </c>
      <c r="AL72">
        <v>16.87</v>
      </c>
      <c r="AM72">
        <v>42</v>
      </c>
      <c r="AN72">
        <v>17</v>
      </c>
      <c r="AO72">
        <v>4</v>
      </c>
      <c r="AP72">
        <v>16.8</v>
      </c>
      <c r="AQ72">
        <v>2</v>
      </c>
    </row>
    <row r="73" spans="1:43" x14ac:dyDescent="0.2">
      <c r="A73" t="s">
        <v>1782</v>
      </c>
      <c r="B73">
        <v>2026</v>
      </c>
      <c r="C73" t="s">
        <v>449</v>
      </c>
      <c r="D73">
        <v>0</v>
      </c>
      <c r="E73" t="s">
        <v>887</v>
      </c>
      <c r="F73" t="s">
        <v>1854</v>
      </c>
      <c r="G73">
        <v>14</v>
      </c>
      <c r="H73">
        <v>19</v>
      </c>
      <c r="I73">
        <v>11.697699999999999</v>
      </c>
      <c r="J73">
        <v>72</v>
      </c>
      <c r="K73">
        <v>0.77669999999999995</v>
      </c>
      <c r="L73">
        <v>69</v>
      </c>
      <c r="M73">
        <v>113.873</v>
      </c>
      <c r="N73">
        <v>101</v>
      </c>
      <c r="O73">
        <v>109.009</v>
      </c>
      <c r="P73">
        <v>164</v>
      </c>
      <c r="Q73">
        <v>102.175</v>
      </c>
      <c r="R73">
        <v>48</v>
      </c>
      <c r="S73">
        <v>109.026</v>
      </c>
      <c r="T73">
        <v>197</v>
      </c>
      <c r="U73">
        <v>68.105000000000004</v>
      </c>
      <c r="V73">
        <v>197</v>
      </c>
      <c r="W73">
        <v>66.289599999999993</v>
      </c>
      <c r="X73">
        <v>240</v>
      </c>
      <c r="Y73">
        <v>-7.5399999999999995E-2</v>
      </c>
      <c r="Z73">
        <v>340</v>
      </c>
      <c r="AA73">
        <v>13.2218</v>
      </c>
      <c r="AB73">
        <v>20</v>
      </c>
      <c r="AC73">
        <v>117.998</v>
      </c>
      <c r="AD73">
        <v>11</v>
      </c>
      <c r="AE73">
        <v>104.776</v>
      </c>
      <c r="AF73">
        <v>59</v>
      </c>
      <c r="AG73">
        <v>-2.4483000000000001</v>
      </c>
      <c r="AH73">
        <v>257</v>
      </c>
      <c r="AJ73">
        <v>17.43</v>
      </c>
      <c r="AK73">
        <v>161</v>
      </c>
      <c r="AL73">
        <v>17.899999999999999</v>
      </c>
      <c r="AM73">
        <v>268</v>
      </c>
      <c r="AN73">
        <v>17.47</v>
      </c>
      <c r="AO73">
        <v>10</v>
      </c>
      <c r="AP73">
        <v>17.899999999999999</v>
      </c>
      <c r="AQ73">
        <v>14</v>
      </c>
    </row>
    <row r="74" spans="1:43" x14ac:dyDescent="0.2">
      <c r="A74" t="s">
        <v>1782</v>
      </c>
      <c r="B74">
        <v>2026</v>
      </c>
      <c r="C74" t="s">
        <v>387</v>
      </c>
      <c r="D74">
        <v>0</v>
      </c>
      <c r="E74" t="s">
        <v>918</v>
      </c>
      <c r="F74" t="s">
        <v>1855</v>
      </c>
      <c r="G74">
        <v>22</v>
      </c>
      <c r="H74">
        <v>11</v>
      </c>
      <c r="I74">
        <v>11.603</v>
      </c>
      <c r="J74">
        <v>73</v>
      </c>
      <c r="K74">
        <v>0.76980000000000004</v>
      </c>
      <c r="L74">
        <v>73</v>
      </c>
      <c r="M74">
        <v>116.432</v>
      </c>
      <c r="N74">
        <v>73</v>
      </c>
      <c r="O74">
        <v>113.114</v>
      </c>
      <c r="P74">
        <v>89</v>
      </c>
      <c r="Q74">
        <v>104.82899999999999</v>
      </c>
      <c r="R74">
        <v>88</v>
      </c>
      <c r="S74">
        <v>105.446</v>
      </c>
      <c r="T74">
        <v>102</v>
      </c>
      <c r="U74">
        <v>66.627600000000001</v>
      </c>
      <c r="V74">
        <v>263</v>
      </c>
      <c r="W74">
        <v>65.836100000000002</v>
      </c>
      <c r="X74">
        <v>266</v>
      </c>
      <c r="Y74">
        <v>1.61E-2</v>
      </c>
      <c r="Z74">
        <v>138</v>
      </c>
      <c r="AA74">
        <v>5.4996</v>
      </c>
      <c r="AB74">
        <v>87</v>
      </c>
      <c r="AC74">
        <v>111.943</v>
      </c>
      <c r="AD74">
        <v>93</v>
      </c>
      <c r="AE74">
        <v>106.444</v>
      </c>
      <c r="AF74">
        <v>87</v>
      </c>
      <c r="AG74">
        <v>2.8287</v>
      </c>
      <c r="AH74">
        <v>109</v>
      </c>
      <c r="AJ74">
        <v>17.690000000000001</v>
      </c>
      <c r="AK74">
        <v>196</v>
      </c>
      <c r="AL74">
        <v>18.12</v>
      </c>
      <c r="AM74">
        <v>306</v>
      </c>
      <c r="AN74">
        <v>17.809999999999999</v>
      </c>
      <c r="AO74">
        <v>6</v>
      </c>
      <c r="AP74">
        <v>18.440000000000001</v>
      </c>
      <c r="AQ74">
        <v>9</v>
      </c>
    </row>
    <row r="75" spans="1:43" x14ac:dyDescent="0.2">
      <c r="A75" t="s">
        <v>1782</v>
      </c>
      <c r="B75">
        <v>2026</v>
      </c>
      <c r="C75" t="s">
        <v>85</v>
      </c>
      <c r="D75">
        <v>0</v>
      </c>
      <c r="E75" t="s">
        <v>881</v>
      </c>
      <c r="F75" t="s">
        <v>1856</v>
      </c>
      <c r="G75">
        <v>21</v>
      </c>
      <c r="H75">
        <v>11</v>
      </c>
      <c r="I75">
        <v>11.476800000000001</v>
      </c>
      <c r="J75">
        <v>74</v>
      </c>
      <c r="K75">
        <v>0.77159999999999995</v>
      </c>
      <c r="L75">
        <v>72</v>
      </c>
      <c r="M75">
        <v>114.273</v>
      </c>
      <c r="N75">
        <v>92</v>
      </c>
      <c r="O75">
        <v>110.60299999999999</v>
      </c>
      <c r="P75">
        <v>130</v>
      </c>
      <c r="Q75">
        <v>102.79600000000001</v>
      </c>
      <c r="R75">
        <v>58</v>
      </c>
      <c r="S75">
        <v>104.941</v>
      </c>
      <c r="T75">
        <v>90</v>
      </c>
      <c r="U75">
        <v>69.289299999999997</v>
      </c>
      <c r="V75">
        <v>130</v>
      </c>
      <c r="W75">
        <v>68.039699999999996</v>
      </c>
      <c r="X75">
        <v>136</v>
      </c>
      <c r="Y75">
        <v>4.3900000000000002E-2</v>
      </c>
      <c r="Z75">
        <v>70</v>
      </c>
      <c r="AA75">
        <v>7.1383999999999999</v>
      </c>
      <c r="AB75">
        <v>80</v>
      </c>
      <c r="AC75">
        <v>113.515</v>
      </c>
      <c r="AD75">
        <v>78</v>
      </c>
      <c r="AE75">
        <v>106.376</v>
      </c>
      <c r="AF75">
        <v>86</v>
      </c>
      <c r="AG75">
        <v>-6.3891999999999998</v>
      </c>
      <c r="AH75">
        <v>323</v>
      </c>
      <c r="AJ75">
        <v>17.059999999999999</v>
      </c>
      <c r="AK75">
        <v>112</v>
      </c>
      <c r="AL75">
        <v>17.46</v>
      </c>
      <c r="AM75">
        <v>162</v>
      </c>
      <c r="AN75">
        <v>17.29</v>
      </c>
      <c r="AO75">
        <v>6</v>
      </c>
      <c r="AP75">
        <v>17.29</v>
      </c>
      <c r="AQ75">
        <v>4</v>
      </c>
    </row>
    <row r="76" spans="1:43" x14ac:dyDescent="0.2">
      <c r="A76" t="s">
        <v>1782</v>
      </c>
      <c r="B76">
        <v>2026</v>
      </c>
      <c r="C76" t="s">
        <v>689</v>
      </c>
      <c r="D76">
        <v>0</v>
      </c>
      <c r="E76" t="s">
        <v>881</v>
      </c>
      <c r="F76" t="s">
        <v>1857</v>
      </c>
      <c r="G76">
        <v>17</v>
      </c>
      <c r="H76">
        <v>16</v>
      </c>
      <c r="I76">
        <v>11.3947</v>
      </c>
      <c r="J76">
        <v>75</v>
      </c>
      <c r="K76">
        <v>0.76429999999999998</v>
      </c>
      <c r="L76">
        <v>75</v>
      </c>
      <c r="M76">
        <v>117.163</v>
      </c>
      <c r="N76">
        <v>67</v>
      </c>
      <c r="O76">
        <v>112.247</v>
      </c>
      <c r="P76">
        <v>103</v>
      </c>
      <c r="Q76">
        <v>105.768</v>
      </c>
      <c r="R76">
        <v>104</v>
      </c>
      <c r="S76">
        <v>110.06699999999999</v>
      </c>
      <c r="T76">
        <v>222</v>
      </c>
      <c r="U76">
        <v>69.512</v>
      </c>
      <c r="V76">
        <v>119</v>
      </c>
      <c r="W76">
        <v>68.071100000000001</v>
      </c>
      <c r="X76">
        <v>135</v>
      </c>
      <c r="Y76">
        <v>-2.18E-2</v>
      </c>
      <c r="Z76">
        <v>244</v>
      </c>
      <c r="AA76">
        <v>11.249599999999999</v>
      </c>
      <c r="AB76">
        <v>45</v>
      </c>
      <c r="AC76">
        <v>115.971</v>
      </c>
      <c r="AD76">
        <v>39</v>
      </c>
      <c r="AE76">
        <v>104.72199999999999</v>
      </c>
      <c r="AF76">
        <v>56</v>
      </c>
      <c r="AG76">
        <v>0.54490000000000005</v>
      </c>
      <c r="AH76">
        <v>168</v>
      </c>
      <c r="AJ76">
        <v>17.059999999999999</v>
      </c>
      <c r="AK76">
        <v>111</v>
      </c>
      <c r="AL76">
        <v>17.64</v>
      </c>
      <c r="AM76">
        <v>208</v>
      </c>
      <c r="AN76">
        <v>17.91</v>
      </c>
      <c r="AO76">
        <v>11</v>
      </c>
      <c r="AP76">
        <v>17.670000000000002</v>
      </c>
      <c r="AQ76">
        <v>8</v>
      </c>
    </row>
    <row r="77" spans="1:43" x14ac:dyDescent="0.2">
      <c r="A77" t="s">
        <v>1782</v>
      </c>
      <c r="B77">
        <v>2026</v>
      </c>
      <c r="C77" t="s">
        <v>201</v>
      </c>
      <c r="D77">
        <v>0</v>
      </c>
      <c r="E77" t="s">
        <v>894</v>
      </c>
      <c r="F77" t="s">
        <v>1858</v>
      </c>
      <c r="G77">
        <v>16</v>
      </c>
      <c r="H77">
        <v>17</v>
      </c>
      <c r="I77">
        <v>11.215400000000001</v>
      </c>
      <c r="J77">
        <v>76</v>
      </c>
      <c r="K77">
        <v>0.76459999999999995</v>
      </c>
      <c r="L77">
        <v>74</v>
      </c>
      <c r="M77">
        <v>115.21</v>
      </c>
      <c r="N77">
        <v>84</v>
      </c>
      <c r="O77">
        <v>109.18300000000001</v>
      </c>
      <c r="P77">
        <v>157</v>
      </c>
      <c r="Q77">
        <v>103.995</v>
      </c>
      <c r="R77">
        <v>74</v>
      </c>
      <c r="S77">
        <v>107.524</v>
      </c>
      <c r="T77">
        <v>148</v>
      </c>
      <c r="U77">
        <v>67.285499999999999</v>
      </c>
      <c r="V77">
        <v>235</v>
      </c>
      <c r="W77">
        <v>66.302599999999998</v>
      </c>
      <c r="X77">
        <v>239</v>
      </c>
      <c r="Y77">
        <v>-5.57E-2</v>
      </c>
      <c r="Z77">
        <v>318</v>
      </c>
      <c r="AA77">
        <v>9.9557000000000002</v>
      </c>
      <c r="AB77">
        <v>67</v>
      </c>
      <c r="AC77">
        <v>113.845</v>
      </c>
      <c r="AD77">
        <v>74</v>
      </c>
      <c r="AE77">
        <v>103.889</v>
      </c>
      <c r="AF77">
        <v>29</v>
      </c>
      <c r="AG77">
        <v>-4.1898</v>
      </c>
      <c r="AH77">
        <v>288</v>
      </c>
      <c r="AJ77">
        <v>17.45</v>
      </c>
      <c r="AK77">
        <v>167</v>
      </c>
      <c r="AL77">
        <v>18.25</v>
      </c>
      <c r="AM77">
        <v>329</v>
      </c>
      <c r="AN77">
        <v>17.75</v>
      </c>
      <c r="AO77">
        <v>6</v>
      </c>
      <c r="AP77">
        <v>18.37</v>
      </c>
      <c r="AQ77">
        <v>10</v>
      </c>
    </row>
    <row r="78" spans="1:43" x14ac:dyDescent="0.2">
      <c r="A78" t="s">
        <v>1782</v>
      </c>
      <c r="B78">
        <v>2026</v>
      </c>
      <c r="C78" t="s">
        <v>129</v>
      </c>
      <c r="D78">
        <v>0</v>
      </c>
      <c r="E78" t="s">
        <v>894</v>
      </c>
      <c r="F78" t="s">
        <v>1859</v>
      </c>
      <c r="G78">
        <v>15</v>
      </c>
      <c r="H78">
        <v>17</v>
      </c>
      <c r="I78">
        <v>11.053699999999999</v>
      </c>
      <c r="J78">
        <v>77</v>
      </c>
      <c r="K78">
        <v>0.75900000000000001</v>
      </c>
      <c r="L78">
        <v>78</v>
      </c>
      <c r="M78">
        <v>116.42100000000001</v>
      </c>
      <c r="N78">
        <v>75</v>
      </c>
      <c r="O78">
        <v>109.152</v>
      </c>
      <c r="P78">
        <v>160</v>
      </c>
      <c r="Q78">
        <v>105.367</v>
      </c>
      <c r="R78">
        <v>97</v>
      </c>
      <c r="S78">
        <v>109.303</v>
      </c>
      <c r="T78">
        <v>206</v>
      </c>
      <c r="U78">
        <v>68.560199999999995</v>
      </c>
      <c r="V78">
        <v>171</v>
      </c>
      <c r="W78">
        <v>67.546000000000006</v>
      </c>
      <c r="X78">
        <v>170</v>
      </c>
      <c r="Y78">
        <v>-2.8899999999999999E-2</v>
      </c>
      <c r="Z78">
        <v>265</v>
      </c>
      <c r="AA78">
        <v>11.720599999999999</v>
      </c>
      <c r="AB78">
        <v>37</v>
      </c>
      <c r="AC78">
        <v>114.71</v>
      </c>
      <c r="AD78">
        <v>66</v>
      </c>
      <c r="AE78">
        <v>102.989</v>
      </c>
      <c r="AF78">
        <v>9</v>
      </c>
      <c r="AG78">
        <v>3.4062999999999999</v>
      </c>
      <c r="AH78">
        <v>96</v>
      </c>
      <c r="AJ78">
        <v>17.66</v>
      </c>
      <c r="AK78">
        <v>191</v>
      </c>
      <c r="AL78">
        <v>17.239999999999998</v>
      </c>
      <c r="AM78">
        <v>115</v>
      </c>
      <c r="AN78">
        <v>17.739999999999998</v>
      </c>
      <c r="AO78">
        <v>5</v>
      </c>
      <c r="AP78">
        <v>17.03</v>
      </c>
      <c r="AQ78">
        <v>3</v>
      </c>
    </row>
    <row r="79" spans="1:43" x14ac:dyDescent="0.2">
      <c r="A79" t="s">
        <v>1782</v>
      </c>
      <c r="B79">
        <v>2026</v>
      </c>
      <c r="C79" t="s">
        <v>357</v>
      </c>
      <c r="D79">
        <v>0</v>
      </c>
      <c r="E79" t="s">
        <v>883</v>
      </c>
      <c r="F79" t="s">
        <v>1860</v>
      </c>
      <c r="G79">
        <v>15</v>
      </c>
      <c r="H79">
        <v>17</v>
      </c>
      <c r="I79">
        <v>10.883100000000001</v>
      </c>
      <c r="J79">
        <v>78</v>
      </c>
      <c r="K79">
        <v>0.75880000000000003</v>
      </c>
      <c r="L79">
        <v>79</v>
      </c>
      <c r="M79">
        <v>114.72</v>
      </c>
      <c r="N79">
        <v>89</v>
      </c>
      <c r="O79">
        <v>109.971</v>
      </c>
      <c r="P79">
        <v>140</v>
      </c>
      <c r="Q79">
        <v>103.837</v>
      </c>
      <c r="R79">
        <v>71</v>
      </c>
      <c r="S79">
        <v>107.953</v>
      </c>
      <c r="T79">
        <v>166</v>
      </c>
      <c r="U79">
        <v>63.004100000000001</v>
      </c>
      <c r="V79">
        <v>365</v>
      </c>
      <c r="W79">
        <v>62.469299999999997</v>
      </c>
      <c r="X79">
        <v>362</v>
      </c>
      <c r="Y79">
        <v>-6.13E-2</v>
      </c>
      <c r="Z79">
        <v>328</v>
      </c>
      <c r="AA79">
        <v>10.4025</v>
      </c>
      <c r="AB79">
        <v>64</v>
      </c>
      <c r="AC79">
        <v>116.122</v>
      </c>
      <c r="AD79">
        <v>35</v>
      </c>
      <c r="AE79">
        <v>105.72</v>
      </c>
      <c r="AF79">
        <v>72</v>
      </c>
      <c r="AG79">
        <v>-8.6845999999999997</v>
      </c>
      <c r="AH79">
        <v>351</v>
      </c>
      <c r="AJ79">
        <v>18.850000000000001</v>
      </c>
      <c r="AK79">
        <v>320</v>
      </c>
      <c r="AL79">
        <v>19.010000000000002</v>
      </c>
      <c r="AM79">
        <v>362</v>
      </c>
      <c r="AN79">
        <v>19.55</v>
      </c>
      <c r="AO79">
        <v>15</v>
      </c>
      <c r="AP79">
        <v>19</v>
      </c>
      <c r="AQ79">
        <v>15</v>
      </c>
    </row>
    <row r="80" spans="1:43" x14ac:dyDescent="0.2">
      <c r="A80" t="s">
        <v>1782</v>
      </c>
      <c r="B80">
        <v>2026</v>
      </c>
      <c r="C80" t="s">
        <v>651</v>
      </c>
      <c r="D80">
        <v>0</v>
      </c>
      <c r="E80" t="s">
        <v>883</v>
      </c>
      <c r="F80" t="s">
        <v>1861</v>
      </c>
      <c r="G80">
        <v>18</v>
      </c>
      <c r="H80">
        <v>14</v>
      </c>
      <c r="I80">
        <v>10.782400000000001</v>
      </c>
      <c r="J80">
        <v>79</v>
      </c>
      <c r="K80">
        <v>0.75870000000000004</v>
      </c>
      <c r="L80">
        <v>80</v>
      </c>
      <c r="M80">
        <v>113.724</v>
      </c>
      <c r="N80">
        <v>103</v>
      </c>
      <c r="O80">
        <v>107.527</v>
      </c>
      <c r="P80">
        <v>197</v>
      </c>
      <c r="Q80">
        <v>102.94199999999999</v>
      </c>
      <c r="R80">
        <v>60</v>
      </c>
      <c r="S80">
        <v>108.65</v>
      </c>
      <c r="T80">
        <v>184</v>
      </c>
      <c r="U80">
        <v>71.020499999999998</v>
      </c>
      <c r="V80">
        <v>55</v>
      </c>
      <c r="W80">
        <v>70.572599999999994</v>
      </c>
      <c r="X80">
        <v>29</v>
      </c>
      <c r="Y80">
        <v>6.8199999999999997E-2</v>
      </c>
      <c r="Z80">
        <v>34</v>
      </c>
      <c r="AA80">
        <v>12.152900000000001</v>
      </c>
      <c r="AB80">
        <v>31</v>
      </c>
      <c r="AC80">
        <v>116.526</v>
      </c>
      <c r="AD80">
        <v>29</v>
      </c>
      <c r="AE80">
        <v>104.373</v>
      </c>
      <c r="AF80">
        <v>46</v>
      </c>
      <c r="AG80">
        <v>-0.84870000000000001</v>
      </c>
      <c r="AH80">
        <v>208</v>
      </c>
      <c r="AJ80">
        <v>16.82</v>
      </c>
      <c r="AK80">
        <v>85</v>
      </c>
      <c r="AL80">
        <v>17.399999999999999</v>
      </c>
      <c r="AM80">
        <v>154</v>
      </c>
      <c r="AN80">
        <v>17.329999999999998</v>
      </c>
      <c r="AO80">
        <v>2</v>
      </c>
      <c r="AP80">
        <v>17.489999999999998</v>
      </c>
      <c r="AQ80">
        <v>1</v>
      </c>
    </row>
    <row r="81" spans="1:43" x14ac:dyDescent="0.2">
      <c r="A81" t="s">
        <v>1782</v>
      </c>
      <c r="B81">
        <v>2026</v>
      </c>
      <c r="C81" t="s">
        <v>135</v>
      </c>
      <c r="D81">
        <v>0</v>
      </c>
      <c r="E81" t="s">
        <v>926</v>
      </c>
      <c r="F81" t="s">
        <v>1862</v>
      </c>
      <c r="G81">
        <v>21</v>
      </c>
      <c r="H81">
        <v>10</v>
      </c>
      <c r="I81">
        <v>10.7669</v>
      </c>
      <c r="J81">
        <v>80</v>
      </c>
      <c r="K81">
        <v>0.76290000000000002</v>
      </c>
      <c r="L81">
        <v>77</v>
      </c>
      <c r="M81">
        <v>111.417</v>
      </c>
      <c r="N81">
        <v>131</v>
      </c>
      <c r="O81">
        <v>109.166</v>
      </c>
      <c r="P81">
        <v>158</v>
      </c>
      <c r="Q81">
        <v>100.651</v>
      </c>
      <c r="R81">
        <v>36</v>
      </c>
      <c r="S81">
        <v>101.345</v>
      </c>
      <c r="T81">
        <v>40</v>
      </c>
      <c r="U81">
        <v>68.273799999999994</v>
      </c>
      <c r="V81">
        <v>190</v>
      </c>
      <c r="W81">
        <v>67.114099999999993</v>
      </c>
      <c r="X81">
        <v>194</v>
      </c>
      <c r="Y81">
        <v>3.3700000000000001E-2</v>
      </c>
      <c r="Z81">
        <v>102</v>
      </c>
      <c r="AA81">
        <v>3.8340000000000001</v>
      </c>
      <c r="AB81">
        <v>99</v>
      </c>
      <c r="AC81">
        <v>111.508</v>
      </c>
      <c r="AD81">
        <v>96</v>
      </c>
      <c r="AE81">
        <v>107.67400000000001</v>
      </c>
      <c r="AF81">
        <v>108</v>
      </c>
      <c r="AG81">
        <v>1.0610999999999999</v>
      </c>
      <c r="AH81">
        <v>153</v>
      </c>
      <c r="AJ81">
        <v>17.84</v>
      </c>
      <c r="AK81">
        <v>217</v>
      </c>
      <c r="AL81">
        <v>17.14</v>
      </c>
      <c r="AM81">
        <v>90</v>
      </c>
      <c r="AN81">
        <v>18.38</v>
      </c>
      <c r="AO81">
        <v>9</v>
      </c>
      <c r="AP81">
        <v>17.309999999999999</v>
      </c>
      <c r="AQ81">
        <v>3</v>
      </c>
    </row>
    <row r="82" spans="1:43" x14ac:dyDescent="0.2">
      <c r="A82" t="s">
        <v>1782</v>
      </c>
      <c r="B82">
        <v>2026</v>
      </c>
      <c r="C82" t="s">
        <v>725</v>
      </c>
      <c r="D82">
        <v>0</v>
      </c>
      <c r="E82" t="s">
        <v>973</v>
      </c>
      <c r="F82" t="s">
        <v>1863</v>
      </c>
      <c r="G82">
        <v>23</v>
      </c>
      <c r="H82">
        <v>5</v>
      </c>
      <c r="I82">
        <v>10.7264</v>
      </c>
      <c r="J82">
        <v>81</v>
      </c>
      <c r="K82">
        <v>0.74529999999999996</v>
      </c>
      <c r="L82">
        <v>81</v>
      </c>
      <c r="M82">
        <v>120.361</v>
      </c>
      <c r="N82">
        <v>43</v>
      </c>
      <c r="O82">
        <v>120.52</v>
      </c>
      <c r="P82">
        <v>15</v>
      </c>
      <c r="Q82">
        <v>109.63500000000001</v>
      </c>
      <c r="R82">
        <v>185</v>
      </c>
      <c r="S82">
        <v>107.404</v>
      </c>
      <c r="T82">
        <v>145</v>
      </c>
      <c r="U82">
        <v>65.835400000000007</v>
      </c>
      <c r="V82">
        <v>302</v>
      </c>
      <c r="W82">
        <v>64.764300000000006</v>
      </c>
      <c r="X82">
        <v>317</v>
      </c>
      <c r="Y82">
        <v>6.4299999999999996E-2</v>
      </c>
      <c r="Z82">
        <v>40</v>
      </c>
      <c r="AA82">
        <v>-1.5099</v>
      </c>
      <c r="AB82">
        <v>187</v>
      </c>
      <c r="AC82">
        <v>108.583</v>
      </c>
      <c r="AD82">
        <v>196</v>
      </c>
      <c r="AE82">
        <v>110.093</v>
      </c>
      <c r="AF82">
        <v>188</v>
      </c>
      <c r="AG82">
        <v>1.3044</v>
      </c>
      <c r="AH82">
        <v>141</v>
      </c>
      <c r="AJ82">
        <v>18.420000000000002</v>
      </c>
      <c r="AK82">
        <v>280</v>
      </c>
      <c r="AL82">
        <v>18</v>
      </c>
      <c r="AM82">
        <v>291</v>
      </c>
      <c r="AN82">
        <v>18.670000000000002</v>
      </c>
      <c r="AO82">
        <v>5</v>
      </c>
      <c r="AP82">
        <v>18.3</v>
      </c>
      <c r="AQ82">
        <v>6</v>
      </c>
    </row>
    <row r="83" spans="1:43" x14ac:dyDescent="0.2">
      <c r="A83" t="s">
        <v>1782</v>
      </c>
      <c r="B83">
        <v>2026</v>
      </c>
      <c r="C83" t="s">
        <v>581</v>
      </c>
      <c r="D83">
        <v>0</v>
      </c>
      <c r="E83" t="s">
        <v>881</v>
      </c>
      <c r="F83" t="s">
        <v>1864</v>
      </c>
      <c r="G83">
        <v>15</v>
      </c>
      <c r="H83">
        <v>17</v>
      </c>
      <c r="I83">
        <v>9.7584999999999997</v>
      </c>
      <c r="J83">
        <v>82</v>
      </c>
      <c r="K83">
        <v>0.73519999999999996</v>
      </c>
      <c r="L83">
        <v>83</v>
      </c>
      <c r="M83">
        <v>114.83</v>
      </c>
      <c r="N83">
        <v>87</v>
      </c>
      <c r="O83">
        <v>108.566</v>
      </c>
      <c r="P83">
        <v>174</v>
      </c>
      <c r="Q83">
        <v>105.072</v>
      </c>
      <c r="R83">
        <v>93</v>
      </c>
      <c r="S83">
        <v>107.584</v>
      </c>
      <c r="T83">
        <v>150</v>
      </c>
      <c r="U83">
        <v>67.7864</v>
      </c>
      <c r="V83">
        <v>213</v>
      </c>
      <c r="W83">
        <v>67.386200000000002</v>
      </c>
      <c r="X83">
        <v>179</v>
      </c>
      <c r="Y83">
        <v>-4.6300000000000001E-2</v>
      </c>
      <c r="Z83">
        <v>301</v>
      </c>
      <c r="AA83">
        <v>10.3576</v>
      </c>
      <c r="AB83">
        <v>65</v>
      </c>
      <c r="AC83">
        <v>114.072</v>
      </c>
      <c r="AD83">
        <v>72</v>
      </c>
      <c r="AE83">
        <v>103.715</v>
      </c>
      <c r="AF83">
        <v>24</v>
      </c>
      <c r="AG83">
        <v>-2.2549999999999999</v>
      </c>
      <c r="AH83">
        <v>251</v>
      </c>
      <c r="AJ83">
        <v>17.09</v>
      </c>
      <c r="AK83">
        <v>118</v>
      </c>
      <c r="AL83">
        <v>17.84</v>
      </c>
      <c r="AM83">
        <v>257</v>
      </c>
      <c r="AN83">
        <v>17.63</v>
      </c>
      <c r="AO83">
        <v>8</v>
      </c>
      <c r="AP83">
        <v>17.37</v>
      </c>
      <c r="AQ83">
        <v>5</v>
      </c>
    </row>
    <row r="84" spans="1:43" x14ac:dyDescent="0.2">
      <c r="A84" t="s">
        <v>1782</v>
      </c>
      <c r="B84">
        <v>2026</v>
      </c>
      <c r="C84" t="s">
        <v>199</v>
      </c>
      <c r="D84">
        <v>0</v>
      </c>
      <c r="E84" t="s">
        <v>926</v>
      </c>
      <c r="F84" t="s">
        <v>1865</v>
      </c>
      <c r="G84">
        <v>18</v>
      </c>
      <c r="H84">
        <v>14</v>
      </c>
      <c r="I84">
        <v>9.6171000000000006</v>
      </c>
      <c r="J84">
        <v>83</v>
      </c>
      <c r="K84">
        <v>0.72719999999999996</v>
      </c>
      <c r="L84">
        <v>86</v>
      </c>
      <c r="M84">
        <v>117.67100000000001</v>
      </c>
      <c r="N84">
        <v>59</v>
      </c>
      <c r="O84">
        <v>116.08499999999999</v>
      </c>
      <c r="P84">
        <v>53</v>
      </c>
      <c r="Q84">
        <v>108.054</v>
      </c>
      <c r="R84">
        <v>143</v>
      </c>
      <c r="S84">
        <v>105.916</v>
      </c>
      <c r="T84">
        <v>107</v>
      </c>
      <c r="U84">
        <v>69.867800000000003</v>
      </c>
      <c r="V84">
        <v>98</v>
      </c>
      <c r="W84">
        <v>69.068299999999994</v>
      </c>
      <c r="X84">
        <v>88</v>
      </c>
      <c r="Y84">
        <v>-0.1331</v>
      </c>
      <c r="Z84">
        <v>365</v>
      </c>
      <c r="AA84">
        <v>0.88770000000000004</v>
      </c>
      <c r="AB84">
        <v>128</v>
      </c>
      <c r="AC84">
        <v>109.128</v>
      </c>
      <c r="AD84">
        <v>163</v>
      </c>
      <c r="AE84">
        <v>108.241</v>
      </c>
      <c r="AF84">
        <v>122</v>
      </c>
      <c r="AG84">
        <v>-2.9476</v>
      </c>
      <c r="AH84">
        <v>263</v>
      </c>
      <c r="AJ84">
        <v>16.7</v>
      </c>
      <c r="AK84">
        <v>76</v>
      </c>
      <c r="AL84">
        <v>17.559999999999999</v>
      </c>
      <c r="AM84">
        <v>185</v>
      </c>
      <c r="AN84">
        <v>17.18</v>
      </c>
      <c r="AO84">
        <v>3</v>
      </c>
      <c r="AP84">
        <v>18</v>
      </c>
      <c r="AQ84">
        <v>7</v>
      </c>
    </row>
    <row r="85" spans="1:43" x14ac:dyDescent="0.2">
      <c r="A85" t="s">
        <v>1782</v>
      </c>
      <c r="B85">
        <v>2026</v>
      </c>
      <c r="C85" t="s">
        <v>325</v>
      </c>
      <c r="D85">
        <v>0</v>
      </c>
      <c r="E85" t="s">
        <v>894</v>
      </c>
      <c r="F85" t="s">
        <v>1866</v>
      </c>
      <c r="G85">
        <v>12</v>
      </c>
      <c r="H85">
        <v>20</v>
      </c>
      <c r="I85">
        <v>9.5995000000000008</v>
      </c>
      <c r="J85">
        <v>84</v>
      </c>
      <c r="K85">
        <v>0.73719999999999997</v>
      </c>
      <c r="L85">
        <v>82</v>
      </c>
      <c r="M85">
        <v>111.88200000000001</v>
      </c>
      <c r="N85">
        <v>124</v>
      </c>
      <c r="O85">
        <v>106.051</v>
      </c>
      <c r="P85">
        <v>229</v>
      </c>
      <c r="Q85">
        <v>102.283</v>
      </c>
      <c r="R85">
        <v>51</v>
      </c>
      <c r="S85">
        <v>106.819</v>
      </c>
      <c r="T85">
        <v>134</v>
      </c>
      <c r="U85">
        <v>70.061499999999995</v>
      </c>
      <c r="V85">
        <v>91</v>
      </c>
      <c r="W85">
        <v>68.843500000000006</v>
      </c>
      <c r="X85">
        <v>102</v>
      </c>
      <c r="Y85">
        <v>-0.11119999999999999</v>
      </c>
      <c r="Z85">
        <v>363</v>
      </c>
      <c r="AA85">
        <v>10.905799999999999</v>
      </c>
      <c r="AB85">
        <v>55</v>
      </c>
      <c r="AC85">
        <v>115.512</v>
      </c>
      <c r="AD85">
        <v>48</v>
      </c>
      <c r="AE85">
        <v>104.60599999999999</v>
      </c>
      <c r="AF85">
        <v>52</v>
      </c>
      <c r="AG85">
        <v>1.7476</v>
      </c>
      <c r="AH85">
        <v>131</v>
      </c>
      <c r="AJ85">
        <v>15.51</v>
      </c>
      <c r="AK85">
        <v>13</v>
      </c>
      <c r="AL85">
        <v>18.559999999999999</v>
      </c>
      <c r="AM85">
        <v>351</v>
      </c>
      <c r="AN85">
        <v>15.81</v>
      </c>
      <c r="AO85">
        <v>1</v>
      </c>
      <c r="AP85">
        <v>18.920000000000002</v>
      </c>
      <c r="AQ85">
        <v>11</v>
      </c>
    </row>
    <row r="86" spans="1:43" x14ac:dyDescent="0.2">
      <c r="A86" t="s">
        <v>1782</v>
      </c>
      <c r="B86">
        <v>2026</v>
      </c>
      <c r="C86" t="s">
        <v>119</v>
      </c>
      <c r="D86">
        <v>0</v>
      </c>
      <c r="E86" t="s">
        <v>918</v>
      </c>
      <c r="F86" t="s">
        <v>1867</v>
      </c>
      <c r="G86">
        <v>21</v>
      </c>
      <c r="H86">
        <v>12</v>
      </c>
      <c r="I86">
        <v>9.4640000000000004</v>
      </c>
      <c r="J86">
        <v>85</v>
      </c>
      <c r="K86">
        <v>0.7218</v>
      </c>
      <c r="L86">
        <v>89</v>
      </c>
      <c r="M86">
        <v>118.938</v>
      </c>
      <c r="N86">
        <v>56</v>
      </c>
      <c r="O86">
        <v>116.73</v>
      </c>
      <c r="P86">
        <v>49</v>
      </c>
      <c r="Q86">
        <v>109.474</v>
      </c>
      <c r="R86">
        <v>178</v>
      </c>
      <c r="S86">
        <v>111.589</v>
      </c>
      <c r="T86">
        <v>259</v>
      </c>
      <c r="U86">
        <v>64.3613</v>
      </c>
      <c r="V86">
        <v>347</v>
      </c>
      <c r="W86">
        <v>62.9801</v>
      </c>
      <c r="X86">
        <v>360</v>
      </c>
      <c r="Y86">
        <v>3.9699999999999999E-2</v>
      </c>
      <c r="Z86">
        <v>88</v>
      </c>
      <c r="AA86">
        <v>4.8550000000000004</v>
      </c>
      <c r="AB86">
        <v>94</v>
      </c>
      <c r="AC86">
        <v>112.374</v>
      </c>
      <c r="AD86">
        <v>86</v>
      </c>
      <c r="AE86">
        <v>107.51900000000001</v>
      </c>
      <c r="AF86">
        <v>104</v>
      </c>
      <c r="AG86">
        <v>-2.3267000000000002</v>
      </c>
      <c r="AH86">
        <v>252</v>
      </c>
      <c r="AJ86">
        <v>19.12</v>
      </c>
      <c r="AK86">
        <v>338</v>
      </c>
      <c r="AL86">
        <v>17.8</v>
      </c>
      <c r="AM86">
        <v>249</v>
      </c>
      <c r="AN86">
        <v>19.079999999999998</v>
      </c>
      <c r="AO86">
        <v>10</v>
      </c>
      <c r="AP86">
        <v>18.07</v>
      </c>
      <c r="AQ86">
        <v>7</v>
      </c>
    </row>
    <row r="87" spans="1:43" x14ac:dyDescent="0.2">
      <c r="A87" t="s">
        <v>1782</v>
      </c>
      <c r="B87">
        <v>2026</v>
      </c>
      <c r="C87" t="s">
        <v>73</v>
      </c>
      <c r="D87">
        <v>0</v>
      </c>
      <c r="E87" t="s">
        <v>894</v>
      </c>
      <c r="F87" t="s">
        <v>1868</v>
      </c>
      <c r="G87">
        <v>16</v>
      </c>
      <c r="H87">
        <v>16</v>
      </c>
      <c r="I87">
        <v>9.4518000000000004</v>
      </c>
      <c r="J87">
        <v>86</v>
      </c>
      <c r="K87">
        <v>0.72619999999999996</v>
      </c>
      <c r="L87">
        <v>87</v>
      </c>
      <c r="M87">
        <v>116.254</v>
      </c>
      <c r="N87">
        <v>76</v>
      </c>
      <c r="O87">
        <v>111.297</v>
      </c>
      <c r="P87">
        <v>117</v>
      </c>
      <c r="Q87">
        <v>106.803</v>
      </c>
      <c r="R87">
        <v>123</v>
      </c>
      <c r="S87">
        <v>109.414</v>
      </c>
      <c r="T87">
        <v>208</v>
      </c>
      <c r="U87">
        <v>70.0351</v>
      </c>
      <c r="V87">
        <v>92</v>
      </c>
      <c r="W87">
        <v>68.677599999999998</v>
      </c>
      <c r="X87">
        <v>110</v>
      </c>
      <c r="Y87">
        <v>-3.1099999999999999E-2</v>
      </c>
      <c r="Z87">
        <v>274</v>
      </c>
      <c r="AA87">
        <v>9.8933</v>
      </c>
      <c r="AB87">
        <v>69</v>
      </c>
      <c r="AC87">
        <v>114.16200000000001</v>
      </c>
      <c r="AD87">
        <v>71</v>
      </c>
      <c r="AE87">
        <v>104.268</v>
      </c>
      <c r="AF87">
        <v>41</v>
      </c>
      <c r="AG87">
        <v>-3.0815999999999999</v>
      </c>
      <c r="AH87">
        <v>267</v>
      </c>
      <c r="AJ87">
        <v>16.899999999999999</v>
      </c>
      <c r="AK87">
        <v>94</v>
      </c>
      <c r="AL87">
        <v>17.27</v>
      </c>
      <c r="AM87">
        <v>119</v>
      </c>
      <c r="AN87">
        <v>17.78</v>
      </c>
      <c r="AO87">
        <v>7</v>
      </c>
      <c r="AP87">
        <v>17.34</v>
      </c>
      <c r="AQ87">
        <v>5</v>
      </c>
    </row>
    <row r="88" spans="1:43" x14ac:dyDescent="0.2">
      <c r="A88" t="s">
        <v>1782</v>
      </c>
      <c r="B88">
        <v>2026</v>
      </c>
      <c r="C88" t="s">
        <v>227</v>
      </c>
      <c r="D88">
        <v>0</v>
      </c>
      <c r="E88" t="s">
        <v>980</v>
      </c>
      <c r="F88" t="s">
        <v>1869</v>
      </c>
      <c r="G88">
        <v>24</v>
      </c>
      <c r="H88">
        <v>10</v>
      </c>
      <c r="I88">
        <v>9.4438999999999993</v>
      </c>
      <c r="J88">
        <v>87</v>
      </c>
      <c r="K88">
        <v>0.72870000000000001</v>
      </c>
      <c r="L88">
        <v>85</v>
      </c>
      <c r="M88">
        <v>114.687</v>
      </c>
      <c r="N88">
        <v>90</v>
      </c>
      <c r="O88">
        <v>113.58499999999999</v>
      </c>
      <c r="P88">
        <v>81</v>
      </c>
      <c r="Q88">
        <v>105.24299999999999</v>
      </c>
      <c r="R88">
        <v>96</v>
      </c>
      <c r="S88">
        <v>102.767</v>
      </c>
      <c r="T88">
        <v>59</v>
      </c>
      <c r="U88">
        <v>65.326599999999999</v>
      </c>
      <c r="V88">
        <v>324</v>
      </c>
      <c r="W88">
        <v>64.734899999999996</v>
      </c>
      <c r="X88">
        <v>319</v>
      </c>
      <c r="Y88">
        <v>-5.1799999999999999E-2</v>
      </c>
      <c r="Z88">
        <v>309</v>
      </c>
      <c r="AA88">
        <v>-0.98180000000000001</v>
      </c>
      <c r="AB88">
        <v>173</v>
      </c>
      <c r="AC88">
        <v>108.151</v>
      </c>
      <c r="AD88">
        <v>224</v>
      </c>
      <c r="AE88">
        <v>109.133</v>
      </c>
      <c r="AF88">
        <v>153</v>
      </c>
      <c r="AG88">
        <v>2.9984000000000002</v>
      </c>
      <c r="AH88">
        <v>104</v>
      </c>
      <c r="AJ88">
        <v>19.05</v>
      </c>
      <c r="AK88">
        <v>335</v>
      </c>
      <c r="AL88">
        <v>17.64</v>
      </c>
      <c r="AM88">
        <v>209</v>
      </c>
      <c r="AN88">
        <v>18.98</v>
      </c>
      <c r="AO88">
        <v>12</v>
      </c>
      <c r="AP88">
        <v>18.03</v>
      </c>
      <c r="AQ88">
        <v>11</v>
      </c>
    </row>
    <row r="89" spans="1:43" x14ac:dyDescent="0.2">
      <c r="A89" t="s">
        <v>1782</v>
      </c>
      <c r="B89">
        <v>2026</v>
      </c>
      <c r="C89" t="s">
        <v>709</v>
      </c>
      <c r="D89">
        <v>0</v>
      </c>
      <c r="E89" t="s">
        <v>940</v>
      </c>
      <c r="F89" t="s">
        <v>1870</v>
      </c>
      <c r="G89">
        <v>21</v>
      </c>
      <c r="H89">
        <v>10</v>
      </c>
      <c r="I89">
        <v>9.3421000000000003</v>
      </c>
      <c r="J89">
        <v>88</v>
      </c>
      <c r="K89">
        <v>0.72940000000000005</v>
      </c>
      <c r="L89">
        <v>84</v>
      </c>
      <c r="M89">
        <v>113.09099999999999</v>
      </c>
      <c r="N89">
        <v>108</v>
      </c>
      <c r="O89">
        <v>112.645</v>
      </c>
      <c r="P89">
        <v>96</v>
      </c>
      <c r="Q89">
        <v>103.749</v>
      </c>
      <c r="R89">
        <v>69</v>
      </c>
      <c r="S89">
        <v>102.402</v>
      </c>
      <c r="T89">
        <v>52</v>
      </c>
      <c r="U89">
        <v>67.318600000000004</v>
      </c>
      <c r="V89">
        <v>233</v>
      </c>
      <c r="W89">
        <v>66.304199999999994</v>
      </c>
      <c r="X89">
        <v>238</v>
      </c>
      <c r="Y89">
        <v>-4.4499999999999998E-2</v>
      </c>
      <c r="Z89">
        <v>298</v>
      </c>
      <c r="AA89">
        <v>0.23369999999999999</v>
      </c>
      <c r="AB89">
        <v>143</v>
      </c>
      <c r="AC89">
        <v>109.664</v>
      </c>
      <c r="AD89">
        <v>140</v>
      </c>
      <c r="AE89">
        <v>109.43</v>
      </c>
      <c r="AF89">
        <v>166</v>
      </c>
      <c r="AG89">
        <v>-2.4154</v>
      </c>
      <c r="AH89">
        <v>254</v>
      </c>
      <c r="AJ89">
        <v>17.95</v>
      </c>
      <c r="AK89">
        <v>231</v>
      </c>
      <c r="AL89">
        <v>17.53</v>
      </c>
      <c r="AM89">
        <v>179</v>
      </c>
      <c r="AN89">
        <v>18.14</v>
      </c>
      <c r="AO89">
        <v>9</v>
      </c>
      <c r="AP89">
        <v>16.940000000000001</v>
      </c>
      <c r="AQ89">
        <v>1</v>
      </c>
    </row>
    <row r="90" spans="1:43" x14ac:dyDescent="0.2">
      <c r="A90" t="s">
        <v>1782</v>
      </c>
      <c r="B90">
        <v>2026</v>
      </c>
      <c r="C90" t="s">
        <v>669</v>
      </c>
      <c r="D90">
        <v>0</v>
      </c>
      <c r="E90" t="s">
        <v>983</v>
      </c>
      <c r="F90" t="s">
        <v>1871</v>
      </c>
      <c r="G90">
        <v>24</v>
      </c>
      <c r="H90">
        <v>7</v>
      </c>
      <c r="I90">
        <v>9.2268000000000008</v>
      </c>
      <c r="J90">
        <v>89</v>
      </c>
      <c r="K90">
        <v>0.72609999999999997</v>
      </c>
      <c r="L90">
        <v>88</v>
      </c>
      <c r="M90">
        <v>113.514</v>
      </c>
      <c r="N90">
        <v>104</v>
      </c>
      <c r="O90">
        <v>111.32599999999999</v>
      </c>
      <c r="P90">
        <v>115</v>
      </c>
      <c r="Q90">
        <v>104.28700000000001</v>
      </c>
      <c r="R90">
        <v>79</v>
      </c>
      <c r="S90">
        <v>100.224</v>
      </c>
      <c r="T90">
        <v>30</v>
      </c>
      <c r="U90">
        <v>69.748599999999996</v>
      </c>
      <c r="V90">
        <v>104</v>
      </c>
      <c r="W90">
        <v>68.893199999999993</v>
      </c>
      <c r="X90">
        <v>99</v>
      </c>
      <c r="Y90">
        <v>4.1700000000000001E-2</v>
      </c>
      <c r="Z90">
        <v>79</v>
      </c>
      <c r="AA90">
        <v>-0.68510000000000004</v>
      </c>
      <c r="AB90">
        <v>165</v>
      </c>
      <c r="AC90">
        <v>107.239</v>
      </c>
      <c r="AD90">
        <v>265</v>
      </c>
      <c r="AE90">
        <v>107.92400000000001</v>
      </c>
      <c r="AF90">
        <v>115</v>
      </c>
      <c r="AG90">
        <v>2.5478000000000001</v>
      </c>
      <c r="AH90">
        <v>113</v>
      </c>
      <c r="AJ90">
        <v>16.68</v>
      </c>
      <c r="AK90">
        <v>75</v>
      </c>
      <c r="AL90">
        <v>17.64</v>
      </c>
      <c r="AM90">
        <v>207</v>
      </c>
      <c r="AN90">
        <v>16.64</v>
      </c>
      <c r="AO90">
        <v>1</v>
      </c>
      <c r="AP90">
        <v>17.690000000000001</v>
      </c>
      <c r="AQ90">
        <v>6</v>
      </c>
    </row>
    <row r="91" spans="1:43" x14ac:dyDescent="0.2">
      <c r="A91" t="s">
        <v>1782</v>
      </c>
      <c r="B91">
        <v>2026</v>
      </c>
      <c r="C91" t="s">
        <v>435</v>
      </c>
      <c r="D91">
        <v>0</v>
      </c>
      <c r="E91" t="s">
        <v>881</v>
      </c>
      <c r="F91" t="s">
        <v>1872</v>
      </c>
      <c r="G91">
        <v>13</v>
      </c>
      <c r="H91">
        <v>18</v>
      </c>
      <c r="I91">
        <v>8.9001000000000001</v>
      </c>
      <c r="J91">
        <v>90</v>
      </c>
      <c r="K91">
        <v>0.71519999999999995</v>
      </c>
      <c r="L91">
        <v>90</v>
      </c>
      <c r="M91">
        <v>115.679</v>
      </c>
      <c r="N91">
        <v>80</v>
      </c>
      <c r="O91">
        <v>109.66</v>
      </c>
      <c r="P91">
        <v>145</v>
      </c>
      <c r="Q91">
        <v>106.779</v>
      </c>
      <c r="R91">
        <v>121</v>
      </c>
      <c r="S91">
        <v>110.871</v>
      </c>
      <c r="T91">
        <v>238</v>
      </c>
      <c r="U91">
        <v>66.712999999999994</v>
      </c>
      <c r="V91">
        <v>257</v>
      </c>
      <c r="W91">
        <v>65.951400000000007</v>
      </c>
      <c r="X91">
        <v>260</v>
      </c>
      <c r="Y91">
        <v>-5.8500000000000003E-2</v>
      </c>
      <c r="Z91">
        <v>322</v>
      </c>
      <c r="AA91">
        <v>10.743399999999999</v>
      </c>
      <c r="AB91">
        <v>61</v>
      </c>
      <c r="AC91">
        <v>115.011</v>
      </c>
      <c r="AD91">
        <v>63</v>
      </c>
      <c r="AE91">
        <v>104.268</v>
      </c>
      <c r="AF91">
        <v>39</v>
      </c>
      <c r="AG91">
        <v>1.4184000000000001</v>
      </c>
      <c r="AH91">
        <v>137</v>
      </c>
      <c r="AJ91">
        <v>18.38</v>
      </c>
      <c r="AK91">
        <v>275</v>
      </c>
      <c r="AL91">
        <v>17.39</v>
      </c>
      <c r="AM91">
        <v>151</v>
      </c>
      <c r="AN91">
        <v>18.489999999999998</v>
      </c>
      <c r="AO91">
        <v>15</v>
      </c>
      <c r="AP91">
        <v>17.07</v>
      </c>
      <c r="AQ91">
        <v>2</v>
      </c>
    </row>
    <row r="92" spans="1:43" x14ac:dyDescent="0.2">
      <c r="A92" t="s">
        <v>1782</v>
      </c>
      <c r="B92">
        <v>2026</v>
      </c>
      <c r="C92" t="s">
        <v>573</v>
      </c>
      <c r="D92">
        <v>0</v>
      </c>
      <c r="E92" t="s">
        <v>956</v>
      </c>
      <c r="F92" t="s">
        <v>1873</v>
      </c>
      <c r="G92">
        <v>28</v>
      </c>
      <c r="H92">
        <v>5</v>
      </c>
      <c r="I92">
        <v>8.4420000000000002</v>
      </c>
      <c r="J92">
        <v>91</v>
      </c>
      <c r="K92">
        <v>0.70979999999999999</v>
      </c>
      <c r="L92">
        <v>91</v>
      </c>
      <c r="M92">
        <v>112.821</v>
      </c>
      <c r="N92">
        <v>110</v>
      </c>
      <c r="O92">
        <v>113.027</v>
      </c>
      <c r="P92">
        <v>91</v>
      </c>
      <c r="Q92">
        <v>104.379</v>
      </c>
      <c r="R92">
        <v>83</v>
      </c>
      <c r="S92">
        <v>99.935199999999995</v>
      </c>
      <c r="T92">
        <v>29</v>
      </c>
      <c r="U92">
        <v>66.053600000000003</v>
      </c>
      <c r="V92">
        <v>295</v>
      </c>
      <c r="W92">
        <v>65.779700000000005</v>
      </c>
      <c r="X92">
        <v>269</v>
      </c>
      <c r="Y92">
        <v>2.9399999999999999E-2</v>
      </c>
      <c r="Z92">
        <v>109</v>
      </c>
      <c r="AA92">
        <v>-3.6577999999999999</v>
      </c>
      <c r="AB92">
        <v>234</v>
      </c>
      <c r="AC92">
        <v>106.13500000000001</v>
      </c>
      <c r="AD92">
        <v>287</v>
      </c>
      <c r="AE92">
        <v>109.79300000000001</v>
      </c>
      <c r="AF92">
        <v>174</v>
      </c>
      <c r="AG92">
        <v>-3.8144</v>
      </c>
      <c r="AH92">
        <v>284</v>
      </c>
      <c r="AJ92">
        <v>17.809999999999999</v>
      </c>
      <c r="AK92">
        <v>213</v>
      </c>
      <c r="AL92">
        <v>18.52</v>
      </c>
      <c r="AM92">
        <v>348</v>
      </c>
      <c r="AN92">
        <v>18.11</v>
      </c>
      <c r="AO92">
        <v>6</v>
      </c>
      <c r="AP92">
        <v>18.399999999999999</v>
      </c>
      <c r="AQ92">
        <v>9</v>
      </c>
    </row>
    <row r="93" spans="1:43" x14ac:dyDescent="0.2">
      <c r="A93" t="s">
        <v>1782</v>
      </c>
      <c r="B93">
        <v>2026</v>
      </c>
      <c r="C93" t="s">
        <v>225</v>
      </c>
      <c r="D93">
        <v>0</v>
      </c>
      <c r="E93" t="s">
        <v>987</v>
      </c>
      <c r="F93" t="s">
        <v>1874</v>
      </c>
      <c r="G93">
        <v>30</v>
      </c>
      <c r="H93">
        <v>4</v>
      </c>
      <c r="I93">
        <v>8.4327000000000005</v>
      </c>
      <c r="J93">
        <v>92</v>
      </c>
      <c r="K93">
        <v>0.70230000000000004</v>
      </c>
      <c r="L93">
        <v>92</v>
      </c>
      <c r="M93">
        <v>117.246</v>
      </c>
      <c r="N93">
        <v>66</v>
      </c>
      <c r="O93">
        <v>121.19</v>
      </c>
      <c r="P93">
        <v>9</v>
      </c>
      <c r="Q93">
        <v>108.813</v>
      </c>
      <c r="R93">
        <v>162</v>
      </c>
      <c r="S93">
        <v>100.316</v>
      </c>
      <c r="T93">
        <v>32</v>
      </c>
      <c r="U93">
        <v>70.931299999999993</v>
      </c>
      <c r="V93">
        <v>57</v>
      </c>
      <c r="W93">
        <v>69.932199999999995</v>
      </c>
      <c r="X93">
        <v>48</v>
      </c>
      <c r="Y93">
        <v>4.7899999999999998E-2</v>
      </c>
      <c r="Z93">
        <v>61</v>
      </c>
      <c r="AA93">
        <v>-9.2309999999999999</v>
      </c>
      <c r="AB93">
        <v>341</v>
      </c>
      <c r="AC93">
        <v>103.795</v>
      </c>
      <c r="AD93">
        <v>331</v>
      </c>
      <c r="AE93">
        <v>113.026</v>
      </c>
      <c r="AF93">
        <v>314</v>
      </c>
      <c r="AG93">
        <v>-8.8705999999999996</v>
      </c>
      <c r="AH93">
        <v>355</v>
      </c>
      <c r="AJ93">
        <v>15.91</v>
      </c>
      <c r="AK93">
        <v>24</v>
      </c>
      <c r="AL93">
        <v>18.059999999999999</v>
      </c>
      <c r="AM93">
        <v>299</v>
      </c>
      <c r="AN93">
        <v>15.93</v>
      </c>
      <c r="AO93">
        <v>1</v>
      </c>
      <c r="AP93">
        <v>17.95</v>
      </c>
      <c r="AQ93">
        <v>9</v>
      </c>
    </row>
    <row r="94" spans="1:43" x14ac:dyDescent="0.2">
      <c r="A94" t="s">
        <v>1782</v>
      </c>
      <c r="B94">
        <v>2026</v>
      </c>
      <c r="C94" t="s">
        <v>347</v>
      </c>
      <c r="D94">
        <v>0</v>
      </c>
      <c r="E94" t="s">
        <v>953</v>
      </c>
      <c r="F94" t="s">
        <v>1875</v>
      </c>
      <c r="G94">
        <v>31</v>
      </c>
      <c r="H94">
        <v>1</v>
      </c>
      <c r="I94">
        <v>8.2485999999999997</v>
      </c>
      <c r="J94">
        <v>93</v>
      </c>
      <c r="K94">
        <v>0.69889999999999997</v>
      </c>
      <c r="L94">
        <v>93</v>
      </c>
      <c r="M94">
        <v>116.84699999999999</v>
      </c>
      <c r="N94">
        <v>70</v>
      </c>
      <c r="O94">
        <v>119.995</v>
      </c>
      <c r="P94">
        <v>18</v>
      </c>
      <c r="Q94">
        <v>108.599</v>
      </c>
      <c r="R94">
        <v>154</v>
      </c>
      <c r="S94">
        <v>104.985</v>
      </c>
      <c r="T94">
        <v>94</v>
      </c>
      <c r="U94">
        <v>71.266300000000001</v>
      </c>
      <c r="V94">
        <v>45</v>
      </c>
      <c r="W94">
        <v>69.973399999999998</v>
      </c>
      <c r="X94">
        <v>47</v>
      </c>
      <c r="Y94">
        <v>9.9299999999999999E-2</v>
      </c>
      <c r="Z94">
        <v>16</v>
      </c>
      <c r="AA94">
        <v>-5.3913000000000002</v>
      </c>
      <c r="AB94">
        <v>269</v>
      </c>
      <c r="AC94">
        <v>107.438</v>
      </c>
      <c r="AD94">
        <v>261</v>
      </c>
      <c r="AE94">
        <v>112.82899999999999</v>
      </c>
      <c r="AF94">
        <v>305</v>
      </c>
      <c r="AG94">
        <v>-9.9337999999999997</v>
      </c>
      <c r="AH94">
        <v>361</v>
      </c>
      <c r="AJ94">
        <v>16.239999999999998</v>
      </c>
      <c r="AK94">
        <v>41</v>
      </c>
      <c r="AL94">
        <v>17.46</v>
      </c>
      <c r="AM94">
        <v>163</v>
      </c>
      <c r="AN94">
        <v>16.23</v>
      </c>
      <c r="AO94">
        <v>1</v>
      </c>
      <c r="AP94">
        <v>17.399999999999999</v>
      </c>
      <c r="AQ94">
        <v>8</v>
      </c>
    </row>
    <row r="95" spans="1:43" x14ac:dyDescent="0.2">
      <c r="A95" t="s">
        <v>1782</v>
      </c>
      <c r="B95">
        <v>2026</v>
      </c>
      <c r="C95" t="s">
        <v>465</v>
      </c>
      <c r="D95">
        <v>0</v>
      </c>
      <c r="E95" t="s">
        <v>881</v>
      </c>
      <c r="F95" t="s">
        <v>1876</v>
      </c>
      <c r="G95">
        <v>13</v>
      </c>
      <c r="H95">
        <v>20</v>
      </c>
      <c r="I95">
        <v>7.6059999999999999</v>
      </c>
      <c r="J95">
        <v>94</v>
      </c>
      <c r="K95">
        <v>0.68889999999999996</v>
      </c>
      <c r="L95">
        <v>95</v>
      </c>
      <c r="M95">
        <v>113.88500000000001</v>
      </c>
      <c r="N95">
        <v>100</v>
      </c>
      <c r="O95">
        <v>108.10299999999999</v>
      </c>
      <c r="P95">
        <v>183</v>
      </c>
      <c r="Q95">
        <v>106.279</v>
      </c>
      <c r="R95">
        <v>114</v>
      </c>
      <c r="S95">
        <v>110.746</v>
      </c>
      <c r="T95">
        <v>235</v>
      </c>
      <c r="U95">
        <v>64.558499999999995</v>
      </c>
      <c r="V95">
        <v>340</v>
      </c>
      <c r="W95">
        <v>63.558700000000002</v>
      </c>
      <c r="X95">
        <v>344</v>
      </c>
      <c r="Y95">
        <v>-6.6799999999999998E-2</v>
      </c>
      <c r="Z95">
        <v>331</v>
      </c>
      <c r="AA95">
        <v>10.8293</v>
      </c>
      <c r="AB95">
        <v>58</v>
      </c>
      <c r="AC95">
        <v>115.17</v>
      </c>
      <c r="AD95">
        <v>58</v>
      </c>
      <c r="AE95">
        <v>104.34</v>
      </c>
      <c r="AF95">
        <v>45</v>
      </c>
      <c r="AG95">
        <v>0.35139999999999999</v>
      </c>
      <c r="AH95">
        <v>174</v>
      </c>
      <c r="AJ95">
        <v>19.5</v>
      </c>
      <c r="AK95">
        <v>354</v>
      </c>
      <c r="AL95">
        <v>17.55</v>
      </c>
      <c r="AM95">
        <v>184</v>
      </c>
      <c r="AN95">
        <v>19.739999999999998</v>
      </c>
      <c r="AO95">
        <v>18</v>
      </c>
      <c r="AP95">
        <v>17.52</v>
      </c>
      <c r="AQ95">
        <v>7</v>
      </c>
    </row>
    <row r="96" spans="1:43" x14ac:dyDescent="0.2">
      <c r="A96" t="s">
        <v>1782</v>
      </c>
      <c r="B96">
        <v>2026</v>
      </c>
      <c r="C96" t="s">
        <v>541</v>
      </c>
      <c r="D96">
        <v>0</v>
      </c>
      <c r="E96" t="s">
        <v>887</v>
      </c>
      <c r="F96" t="s">
        <v>1877</v>
      </c>
      <c r="G96">
        <v>13</v>
      </c>
      <c r="H96">
        <v>19</v>
      </c>
      <c r="I96">
        <v>7.5852000000000004</v>
      </c>
      <c r="J96">
        <v>95</v>
      </c>
      <c r="K96">
        <v>0.69030000000000002</v>
      </c>
      <c r="L96">
        <v>94</v>
      </c>
      <c r="M96">
        <v>112.69799999999999</v>
      </c>
      <c r="N96">
        <v>113</v>
      </c>
      <c r="O96">
        <v>109.066</v>
      </c>
      <c r="P96">
        <v>163</v>
      </c>
      <c r="Q96">
        <v>105.113</v>
      </c>
      <c r="R96">
        <v>94</v>
      </c>
      <c r="S96">
        <v>111.245</v>
      </c>
      <c r="T96">
        <v>251</v>
      </c>
      <c r="U96">
        <v>67.970500000000001</v>
      </c>
      <c r="V96">
        <v>202</v>
      </c>
      <c r="W96">
        <v>66.365700000000004</v>
      </c>
      <c r="X96">
        <v>233</v>
      </c>
      <c r="Y96">
        <v>-6.1800000000000001E-2</v>
      </c>
      <c r="Z96">
        <v>330</v>
      </c>
      <c r="AA96">
        <v>10.991300000000001</v>
      </c>
      <c r="AB96">
        <v>52</v>
      </c>
      <c r="AC96">
        <v>116.88</v>
      </c>
      <c r="AD96">
        <v>25</v>
      </c>
      <c r="AE96">
        <v>105.889</v>
      </c>
      <c r="AF96">
        <v>74</v>
      </c>
      <c r="AG96">
        <v>-8.7943999999999996</v>
      </c>
      <c r="AH96">
        <v>354</v>
      </c>
      <c r="AJ96">
        <v>18.43</v>
      </c>
      <c r="AK96">
        <v>283</v>
      </c>
      <c r="AL96">
        <v>16.89</v>
      </c>
      <c r="AM96">
        <v>45</v>
      </c>
      <c r="AN96">
        <v>18.48</v>
      </c>
      <c r="AO96">
        <v>14</v>
      </c>
      <c r="AP96">
        <v>16.66</v>
      </c>
      <c r="AQ96">
        <v>2</v>
      </c>
    </row>
    <row r="97" spans="1:43" x14ac:dyDescent="0.2">
      <c r="A97" t="s">
        <v>1782</v>
      </c>
      <c r="B97">
        <v>2026</v>
      </c>
      <c r="C97" t="s">
        <v>723</v>
      </c>
      <c r="D97">
        <v>0</v>
      </c>
      <c r="E97" t="s">
        <v>894</v>
      </c>
      <c r="F97" t="s">
        <v>1878</v>
      </c>
      <c r="G97">
        <v>15</v>
      </c>
      <c r="H97">
        <v>18</v>
      </c>
      <c r="I97">
        <v>7.4997999999999996</v>
      </c>
      <c r="J97">
        <v>96</v>
      </c>
      <c r="K97">
        <v>0.68169999999999997</v>
      </c>
      <c r="L97">
        <v>98</v>
      </c>
      <c r="M97">
        <v>117.06</v>
      </c>
      <c r="N97">
        <v>68</v>
      </c>
      <c r="O97">
        <v>109.11499999999999</v>
      </c>
      <c r="P97">
        <v>162</v>
      </c>
      <c r="Q97">
        <v>109.56</v>
      </c>
      <c r="R97">
        <v>182</v>
      </c>
      <c r="S97">
        <v>112.547</v>
      </c>
      <c r="T97">
        <v>279</v>
      </c>
      <c r="U97">
        <v>71.203299999999999</v>
      </c>
      <c r="V97">
        <v>48</v>
      </c>
      <c r="W97">
        <v>70.242099999999994</v>
      </c>
      <c r="X97">
        <v>35</v>
      </c>
      <c r="Y97">
        <v>1.6E-2</v>
      </c>
      <c r="Z97">
        <v>140</v>
      </c>
      <c r="AA97">
        <v>11.4041</v>
      </c>
      <c r="AB97">
        <v>43</v>
      </c>
      <c r="AC97">
        <v>114.21899999999999</v>
      </c>
      <c r="AD97">
        <v>70</v>
      </c>
      <c r="AE97">
        <v>102.81399999999999</v>
      </c>
      <c r="AF97">
        <v>5</v>
      </c>
      <c r="AG97">
        <v>1.0770999999999999</v>
      </c>
      <c r="AH97">
        <v>151</v>
      </c>
      <c r="AJ97">
        <v>15.9</v>
      </c>
      <c r="AK97">
        <v>23</v>
      </c>
      <c r="AL97">
        <v>17.739999999999998</v>
      </c>
      <c r="AM97">
        <v>234</v>
      </c>
      <c r="AN97">
        <v>15.98</v>
      </c>
      <c r="AO97">
        <v>2</v>
      </c>
      <c r="AP97">
        <v>17.649999999999999</v>
      </c>
      <c r="AQ97">
        <v>7</v>
      </c>
    </row>
    <row r="98" spans="1:43" x14ac:dyDescent="0.2">
      <c r="A98" t="s">
        <v>1782</v>
      </c>
      <c r="B98">
        <v>2026</v>
      </c>
      <c r="C98" t="s">
        <v>721</v>
      </c>
      <c r="D98">
        <v>0</v>
      </c>
      <c r="E98" t="s">
        <v>918</v>
      </c>
      <c r="F98" t="s">
        <v>1879</v>
      </c>
      <c r="G98">
        <v>18</v>
      </c>
      <c r="H98">
        <v>14</v>
      </c>
      <c r="I98">
        <v>7.4531000000000001</v>
      </c>
      <c r="J98">
        <v>97</v>
      </c>
      <c r="K98">
        <v>0.68330000000000002</v>
      </c>
      <c r="L98">
        <v>97</v>
      </c>
      <c r="M98">
        <v>115.214</v>
      </c>
      <c r="N98">
        <v>83</v>
      </c>
      <c r="O98">
        <v>113.36199999999999</v>
      </c>
      <c r="P98">
        <v>85</v>
      </c>
      <c r="Q98">
        <v>107.76</v>
      </c>
      <c r="R98">
        <v>139</v>
      </c>
      <c r="S98">
        <v>108.88</v>
      </c>
      <c r="T98">
        <v>192</v>
      </c>
      <c r="U98">
        <v>67.324200000000005</v>
      </c>
      <c r="V98">
        <v>231</v>
      </c>
      <c r="W98">
        <v>66.005700000000004</v>
      </c>
      <c r="X98">
        <v>255</v>
      </c>
      <c r="Y98">
        <v>-2.4E-2</v>
      </c>
      <c r="Z98">
        <v>252</v>
      </c>
      <c r="AA98">
        <v>4.0084999999999997</v>
      </c>
      <c r="AB98">
        <v>98</v>
      </c>
      <c r="AC98">
        <v>112.011</v>
      </c>
      <c r="AD98">
        <v>91</v>
      </c>
      <c r="AE98">
        <v>108.002</v>
      </c>
      <c r="AF98">
        <v>118</v>
      </c>
      <c r="AG98">
        <v>-5.2373000000000003</v>
      </c>
      <c r="AH98">
        <v>304</v>
      </c>
      <c r="AJ98">
        <v>18.46</v>
      </c>
      <c r="AK98">
        <v>288</v>
      </c>
      <c r="AL98">
        <v>17.18</v>
      </c>
      <c r="AM98">
        <v>99</v>
      </c>
      <c r="AN98">
        <v>19.16</v>
      </c>
      <c r="AO98">
        <v>11</v>
      </c>
      <c r="AP98">
        <v>17.73</v>
      </c>
      <c r="AQ98">
        <v>4</v>
      </c>
    </row>
    <row r="99" spans="1:43" x14ac:dyDescent="0.2">
      <c r="A99" t="s">
        <v>1782</v>
      </c>
      <c r="B99">
        <v>2026</v>
      </c>
      <c r="C99" t="s">
        <v>197</v>
      </c>
      <c r="D99">
        <v>0</v>
      </c>
      <c r="E99" t="s">
        <v>926</v>
      </c>
      <c r="F99" t="s">
        <v>1880</v>
      </c>
      <c r="G99">
        <v>23</v>
      </c>
      <c r="H99">
        <v>9</v>
      </c>
      <c r="I99">
        <v>7.4248000000000003</v>
      </c>
      <c r="J99">
        <v>98</v>
      </c>
      <c r="K99">
        <v>0.68579999999999997</v>
      </c>
      <c r="L99">
        <v>96</v>
      </c>
      <c r="M99">
        <v>113.14</v>
      </c>
      <c r="N99">
        <v>107</v>
      </c>
      <c r="O99">
        <v>112.28400000000001</v>
      </c>
      <c r="P99">
        <v>102</v>
      </c>
      <c r="Q99">
        <v>105.715</v>
      </c>
      <c r="R99">
        <v>102</v>
      </c>
      <c r="S99">
        <v>104.405</v>
      </c>
      <c r="T99">
        <v>81</v>
      </c>
      <c r="U99">
        <v>64.794399999999996</v>
      </c>
      <c r="V99">
        <v>335</v>
      </c>
      <c r="W99">
        <v>63.303800000000003</v>
      </c>
      <c r="X99">
        <v>351</v>
      </c>
      <c r="Y99">
        <v>5.4300000000000001E-2</v>
      </c>
      <c r="Z99">
        <v>55</v>
      </c>
      <c r="AA99">
        <v>0.30059999999999998</v>
      </c>
      <c r="AB99">
        <v>142</v>
      </c>
      <c r="AC99">
        <v>109.879</v>
      </c>
      <c r="AD99">
        <v>127</v>
      </c>
      <c r="AE99">
        <v>109.578</v>
      </c>
      <c r="AF99">
        <v>169</v>
      </c>
      <c r="AG99">
        <v>-7.9511000000000003</v>
      </c>
      <c r="AH99">
        <v>346</v>
      </c>
      <c r="AJ99">
        <v>19.04</v>
      </c>
      <c r="AK99">
        <v>334</v>
      </c>
      <c r="AL99">
        <v>17.899999999999999</v>
      </c>
      <c r="AM99">
        <v>270</v>
      </c>
      <c r="AN99">
        <v>19.22</v>
      </c>
      <c r="AO99">
        <v>13</v>
      </c>
      <c r="AP99">
        <v>18.66</v>
      </c>
      <c r="AQ99">
        <v>13</v>
      </c>
    </row>
    <row r="100" spans="1:43" x14ac:dyDescent="0.2">
      <c r="A100" t="s">
        <v>1782</v>
      </c>
      <c r="B100">
        <v>2026</v>
      </c>
      <c r="C100" t="s">
        <v>273</v>
      </c>
      <c r="D100">
        <v>0</v>
      </c>
      <c r="E100" t="s">
        <v>885</v>
      </c>
      <c r="F100" t="s">
        <v>1881</v>
      </c>
      <c r="G100">
        <v>12</v>
      </c>
      <c r="H100">
        <v>20</v>
      </c>
      <c r="I100">
        <v>7.0697999999999999</v>
      </c>
      <c r="J100">
        <v>99</v>
      </c>
      <c r="K100">
        <v>0.67700000000000005</v>
      </c>
      <c r="L100">
        <v>101</v>
      </c>
      <c r="M100">
        <v>113.45099999999999</v>
      </c>
      <c r="N100">
        <v>105</v>
      </c>
      <c r="O100">
        <v>107.655</v>
      </c>
      <c r="P100">
        <v>192</v>
      </c>
      <c r="Q100">
        <v>106.38200000000001</v>
      </c>
      <c r="R100">
        <v>115</v>
      </c>
      <c r="S100">
        <v>111.148</v>
      </c>
      <c r="T100">
        <v>246</v>
      </c>
      <c r="U100">
        <v>73.816000000000003</v>
      </c>
      <c r="V100">
        <v>7</v>
      </c>
      <c r="W100">
        <v>72.635499999999993</v>
      </c>
      <c r="X100">
        <v>6</v>
      </c>
      <c r="Y100">
        <v>-7.3499999999999996E-2</v>
      </c>
      <c r="Z100">
        <v>339</v>
      </c>
      <c r="AA100">
        <v>13.0802</v>
      </c>
      <c r="AB100">
        <v>23</v>
      </c>
      <c r="AC100">
        <v>116.282</v>
      </c>
      <c r="AD100">
        <v>33</v>
      </c>
      <c r="AE100">
        <v>103.202</v>
      </c>
      <c r="AF100">
        <v>13</v>
      </c>
      <c r="AG100">
        <v>-7.8600000000000003E-2</v>
      </c>
      <c r="AH100">
        <v>189</v>
      </c>
      <c r="AJ100">
        <v>15.65</v>
      </c>
      <c r="AK100">
        <v>17</v>
      </c>
      <c r="AL100">
        <v>17.12</v>
      </c>
      <c r="AM100">
        <v>84</v>
      </c>
      <c r="AN100">
        <v>16.170000000000002</v>
      </c>
      <c r="AO100">
        <v>1</v>
      </c>
      <c r="AP100">
        <v>16.989999999999998</v>
      </c>
      <c r="AQ100">
        <v>4</v>
      </c>
    </row>
    <row r="101" spans="1:43" x14ac:dyDescent="0.2">
      <c r="A101" t="s">
        <v>1782</v>
      </c>
      <c r="B101">
        <v>2026</v>
      </c>
      <c r="C101" t="s">
        <v>453</v>
      </c>
      <c r="D101">
        <v>0</v>
      </c>
      <c r="E101" t="s">
        <v>883</v>
      </c>
      <c r="F101" t="s">
        <v>1882</v>
      </c>
      <c r="G101">
        <v>12</v>
      </c>
      <c r="H101">
        <v>20</v>
      </c>
      <c r="I101">
        <v>6.9983000000000004</v>
      </c>
      <c r="J101">
        <v>100</v>
      </c>
      <c r="K101">
        <v>0.67779999999999996</v>
      </c>
      <c r="L101">
        <v>100</v>
      </c>
      <c r="M101">
        <v>111.738</v>
      </c>
      <c r="N101">
        <v>129</v>
      </c>
      <c r="O101">
        <v>105.75700000000001</v>
      </c>
      <c r="P101">
        <v>235</v>
      </c>
      <c r="Q101">
        <v>104.74</v>
      </c>
      <c r="R101">
        <v>87</v>
      </c>
      <c r="S101">
        <v>111.163</v>
      </c>
      <c r="T101">
        <v>247</v>
      </c>
      <c r="U101">
        <v>66.495800000000003</v>
      </c>
      <c r="V101">
        <v>275</v>
      </c>
      <c r="W101">
        <v>65.893900000000002</v>
      </c>
      <c r="X101">
        <v>263</v>
      </c>
      <c r="Y101">
        <v>-3.56E-2</v>
      </c>
      <c r="Z101">
        <v>290</v>
      </c>
      <c r="AA101">
        <v>12.562900000000001</v>
      </c>
      <c r="AB101">
        <v>28</v>
      </c>
      <c r="AC101">
        <v>116.54</v>
      </c>
      <c r="AD101">
        <v>28</v>
      </c>
      <c r="AE101">
        <v>103.977</v>
      </c>
      <c r="AF101">
        <v>31</v>
      </c>
      <c r="AG101">
        <v>1.4636</v>
      </c>
      <c r="AH101">
        <v>135</v>
      </c>
      <c r="AJ101">
        <v>18.21</v>
      </c>
      <c r="AK101">
        <v>256</v>
      </c>
      <c r="AL101">
        <v>17.82</v>
      </c>
      <c r="AM101">
        <v>250</v>
      </c>
      <c r="AN101">
        <v>19.010000000000002</v>
      </c>
      <c r="AO101">
        <v>14</v>
      </c>
      <c r="AP101">
        <v>18.16</v>
      </c>
      <c r="AQ101">
        <v>7</v>
      </c>
    </row>
    <row r="102" spans="1:43" x14ac:dyDescent="0.2">
      <c r="A102" t="s">
        <v>1782</v>
      </c>
      <c r="B102">
        <v>2026</v>
      </c>
      <c r="C102" t="s">
        <v>359</v>
      </c>
      <c r="D102">
        <v>0</v>
      </c>
      <c r="E102" t="s">
        <v>887</v>
      </c>
      <c r="F102" t="s">
        <v>1883</v>
      </c>
      <c r="G102">
        <v>13</v>
      </c>
      <c r="H102">
        <v>19</v>
      </c>
      <c r="I102">
        <v>6.9577</v>
      </c>
      <c r="J102">
        <v>101</v>
      </c>
      <c r="K102">
        <v>0.67530000000000001</v>
      </c>
      <c r="L102">
        <v>102</v>
      </c>
      <c r="M102">
        <v>112.789</v>
      </c>
      <c r="N102">
        <v>111</v>
      </c>
      <c r="O102">
        <v>107.371</v>
      </c>
      <c r="P102">
        <v>200</v>
      </c>
      <c r="Q102">
        <v>105.831</v>
      </c>
      <c r="R102">
        <v>106</v>
      </c>
      <c r="S102">
        <v>112.87</v>
      </c>
      <c r="T102">
        <v>291</v>
      </c>
      <c r="U102">
        <v>71.461500000000001</v>
      </c>
      <c r="V102">
        <v>36</v>
      </c>
      <c r="W102">
        <v>69.627300000000005</v>
      </c>
      <c r="X102">
        <v>66</v>
      </c>
      <c r="Y102">
        <v>-1.4E-3</v>
      </c>
      <c r="Z102">
        <v>194</v>
      </c>
      <c r="AA102">
        <v>13.1454</v>
      </c>
      <c r="AB102">
        <v>21</v>
      </c>
      <c r="AC102">
        <v>117.69199999999999</v>
      </c>
      <c r="AD102">
        <v>13</v>
      </c>
      <c r="AE102">
        <v>104.547</v>
      </c>
      <c r="AF102">
        <v>50</v>
      </c>
      <c r="AG102">
        <v>0.46910000000000002</v>
      </c>
      <c r="AH102">
        <v>171</v>
      </c>
      <c r="AJ102">
        <v>16.98</v>
      </c>
      <c r="AK102">
        <v>104</v>
      </c>
      <c r="AL102">
        <v>16.559999999999999</v>
      </c>
      <c r="AM102">
        <v>14</v>
      </c>
      <c r="AN102">
        <v>17.23</v>
      </c>
      <c r="AO102">
        <v>7</v>
      </c>
      <c r="AP102">
        <v>16.260000000000002</v>
      </c>
      <c r="AQ102">
        <v>1</v>
      </c>
    </row>
    <row r="103" spans="1:43" x14ac:dyDescent="0.2">
      <c r="A103" t="s">
        <v>1782</v>
      </c>
      <c r="B103">
        <v>2026</v>
      </c>
      <c r="C103" t="s">
        <v>137</v>
      </c>
      <c r="D103">
        <v>0</v>
      </c>
      <c r="E103" t="s">
        <v>894</v>
      </c>
      <c r="F103" t="s">
        <v>1884</v>
      </c>
      <c r="G103">
        <v>16</v>
      </c>
      <c r="H103">
        <v>16</v>
      </c>
      <c r="I103">
        <v>6.8285</v>
      </c>
      <c r="J103">
        <v>102</v>
      </c>
      <c r="K103">
        <v>0.68059999999999998</v>
      </c>
      <c r="L103">
        <v>99</v>
      </c>
      <c r="M103">
        <v>107.26600000000001</v>
      </c>
      <c r="N103">
        <v>210</v>
      </c>
      <c r="O103">
        <v>103.65900000000001</v>
      </c>
      <c r="P103">
        <v>276</v>
      </c>
      <c r="Q103">
        <v>100.437</v>
      </c>
      <c r="R103">
        <v>34</v>
      </c>
      <c r="S103">
        <v>102.846</v>
      </c>
      <c r="T103">
        <v>62</v>
      </c>
      <c r="U103">
        <v>67.730900000000005</v>
      </c>
      <c r="V103">
        <v>214</v>
      </c>
      <c r="W103">
        <v>66.223600000000005</v>
      </c>
      <c r="X103">
        <v>243</v>
      </c>
      <c r="Y103">
        <v>-1.4200000000000001E-2</v>
      </c>
      <c r="Z103">
        <v>225</v>
      </c>
      <c r="AA103">
        <v>7.9497999999999998</v>
      </c>
      <c r="AB103">
        <v>76</v>
      </c>
      <c r="AC103">
        <v>113.578</v>
      </c>
      <c r="AD103">
        <v>77</v>
      </c>
      <c r="AE103">
        <v>105.629</v>
      </c>
      <c r="AF103">
        <v>71</v>
      </c>
      <c r="AG103">
        <v>-9.9855999999999998</v>
      </c>
      <c r="AH103">
        <v>362</v>
      </c>
      <c r="AJ103">
        <v>18.579999999999998</v>
      </c>
      <c r="AK103">
        <v>299</v>
      </c>
      <c r="AL103">
        <v>16.87</v>
      </c>
      <c r="AM103">
        <v>43</v>
      </c>
      <c r="AN103">
        <v>19.43</v>
      </c>
      <c r="AO103">
        <v>11</v>
      </c>
      <c r="AP103">
        <v>16.559999999999999</v>
      </c>
      <c r="AQ103">
        <v>1</v>
      </c>
    </row>
    <row r="104" spans="1:43" x14ac:dyDescent="0.2">
      <c r="A104" t="s">
        <v>1782</v>
      </c>
      <c r="B104">
        <v>2026</v>
      </c>
      <c r="C104" t="s">
        <v>245</v>
      </c>
      <c r="D104">
        <v>0</v>
      </c>
      <c r="E104" t="s">
        <v>959</v>
      </c>
      <c r="F104" t="s">
        <v>1885</v>
      </c>
      <c r="G104">
        <v>20</v>
      </c>
      <c r="H104">
        <v>12</v>
      </c>
      <c r="I104">
        <v>6.6631999999999998</v>
      </c>
      <c r="J104">
        <v>103</v>
      </c>
      <c r="K104">
        <v>0.67130000000000001</v>
      </c>
      <c r="L104">
        <v>103</v>
      </c>
      <c r="M104">
        <v>110.709</v>
      </c>
      <c r="N104">
        <v>145</v>
      </c>
      <c r="O104">
        <v>109.908</v>
      </c>
      <c r="P104">
        <v>141</v>
      </c>
      <c r="Q104">
        <v>104.04600000000001</v>
      </c>
      <c r="R104">
        <v>75</v>
      </c>
      <c r="S104">
        <v>102.134</v>
      </c>
      <c r="T104">
        <v>48</v>
      </c>
      <c r="U104">
        <v>67.611999999999995</v>
      </c>
      <c r="V104">
        <v>216</v>
      </c>
      <c r="W104">
        <v>66.689899999999994</v>
      </c>
      <c r="X104">
        <v>219</v>
      </c>
      <c r="Y104">
        <v>-8.6E-3</v>
      </c>
      <c r="Z104">
        <v>213</v>
      </c>
      <c r="AA104">
        <v>1.327</v>
      </c>
      <c r="AB104">
        <v>120</v>
      </c>
      <c r="AC104">
        <v>110.071</v>
      </c>
      <c r="AD104">
        <v>121</v>
      </c>
      <c r="AE104">
        <v>108.744</v>
      </c>
      <c r="AF104">
        <v>145</v>
      </c>
      <c r="AG104">
        <v>-2.8047</v>
      </c>
      <c r="AH104">
        <v>260</v>
      </c>
      <c r="AJ104">
        <v>18.45</v>
      </c>
      <c r="AK104">
        <v>285</v>
      </c>
      <c r="AL104">
        <v>17.03</v>
      </c>
      <c r="AM104">
        <v>70</v>
      </c>
      <c r="AN104">
        <v>18.68</v>
      </c>
      <c r="AO104">
        <v>9</v>
      </c>
      <c r="AP104">
        <v>17.010000000000002</v>
      </c>
      <c r="AQ104">
        <v>2</v>
      </c>
    </row>
    <row r="105" spans="1:43" x14ac:dyDescent="0.2">
      <c r="A105" t="s">
        <v>1782</v>
      </c>
      <c r="B105">
        <v>2026</v>
      </c>
      <c r="C105" t="s">
        <v>247</v>
      </c>
      <c r="D105">
        <v>0</v>
      </c>
      <c r="E105" t="s">
        <v>959</v>
      </c>
      <c r="F105" t="s">
        <v>1886</v>
      </c>
      <c r="G105">
        <v>19</v>
      </c>
      <c r="H105">
        <v>15</v>
      </c>
      <c r="I105">
        <v>6.1780999999999997</v>
      </c>
      <c r="J105">
        <v>104</v>
      </c>
      <c r="K105">
        <v>0.65949999999999998</v>
      </c>
      <c r="L105">
        <v>105</v>
      </c>
      <c r="M105">
        <v>110.625</v>
      </c>
      <c r="N105">
        <v>147</v>
      </c>
      <c r="O105">
        <v>108.797</v>
      </c>
      <c r="P105">
        <v>169</v>
      </c>
      <c r="Q105">
        <v>104.447</v>
      </c>
      <c r="R105">
        <v>85</v>
      </c>
      <c r="S105">
        <v>104.071</v>
      </c>
      <c r="T105">
        <v>78</v>
      </c>
      <c r="U105">
        <v>66.996499999999997</v>
      </c>
      <c r="V105">
        <v>248</v>
      </c>
      <c r="W105">
        <v>66.374300000000005</v>
      </c>
      <c r="X105">
        <v>231</v>
      </c>
      <c r="Y105">
        <v>-6.0999999999999999E-2</v>
      </c>
      <c r="Z105">
        <v>326</v>
      </c>
      <c r="AA105">
        <v>1.5847</v>
      </c>
      <c r="AB105">
        <v>116</v>
      </c>
      <c r="AC105">
        <v>110.236</v>
      </c>
      <c r="AD105">
        <v>116</v>
      </c>
      <c r="AE105">
        <v>108.652</v>
      </c>
      <c r="AF105">
        <v>141</v>
      </c>
      <c r="AG105">
        <v>-2.3479999999999999</v>
      </c>
      <c r="AH105">
        <v>253</v>
      </c>
      <c r="AJ105">
        <v>17.850000000000001</v>
      </c>
      <c r="AK105">
        <v>218</v>
      </c>
      <c r="AL105">
        <v>17.87</v>
      </c>
      <c r="AM105">
        <v>264</v>
      </c>
      <c r="AN105">
        <v>18.2</v>
      </c>
      <c r="AO105">
        <v>7</v>
      </c>
      <c r="AP105">
        <v>17.95</v>
      </c>
      <c r="AQ105">
        <v>8</v>
      </c>
    </row>
    <row r="106" spans="1:43" x14ac:dyDescent="0.2">
      <c r="A106" t="s">
        <v>1782</v>
      </c>
      <c r="B106">
        <v>2026</v>
      </c>
      <c r="C106" t="s">
        <v>625</v>
      </c>
      <c r="D106">
        <v>0</v>
      </c>
      <c r="E106" t="s">
        <v>1001</v>
      </c>
      <c r="F106" t="s">
        <v>1887</v>
      </c>
      <c r="G106">
        <v>22</v>
      </c>
      <c r="H106">
        <v>10</v>
      </c>
      <c r="I106">
        <v>6.1029999999999998</v>
      </c>
      <c r="J106">
        <v>105</v>
      </c>
      <c r="K106">
        <v>0.66669999999999996</v>
      </c>
      <c r="L106">
        <v>104</v>
      </c>
      <c r="M106">
        <v>104.31100000000001</v>
      </c>
      <c r="N106">
        <v>268</v>
      </c>
      <c r="O106">
        <v>103.51300000000001</v>
      </c>
      <c r="P106">
        <v>278</v>
      </c>
      <c r="Q106">
        <v>98.207800000000006</v>
      </c>
      <c r="R106">
        <v>24</v>
      </c>
      <c r="S106">
        <v>96.494200000000006</v>
      </c>
      <c r="T106">
        <v>8</v>
      </c>
      <c r="U106">
        <v>70.668199999999999</v>
      </c>
      <c r="V106">
        <v>69</v>
      </c>
      <c r="W106">
        <v>68.319299999999998</v>
      </c>
      <c r="X106">
        <v>126</v>
      </c>
      <c r="Y106">
        <v>-7.3000000000000001E-3</v>
      </c>
      <c r="Z106">
        <v>211</v>
      </c>
      <c r="AA106">
        <v>-0.96</v>
      </c>
      <c r="AB106">
        <v>171</v>
      </c>
      <c r="AC106">
        <v>108.626</v>
      </c>
      <c r="AD106">
        <v>193</v>
      </c>
      <c r="AE106">
        <v>109.586</v>
      </c>
      <c r="AF106">
        <v>171</v>
      </c>
      <c r="AG106">
        <v>0.58309999999999995</v>
      </c>
      <c r="AH106">
        <v>167</v>
      </c>
      <c r="AJ106">
        <v>17.149999999999999</v>
      </c>
      <c r="AK106">
        <v>126</v>
      </c>
      <c r="AL106">
        <v>16.87</v>
      </c>
      <c r="AM106">
        <v>41</v>
      </c>
      <c r="AN106">
        <v>17.100000000000001</v>
      </c>
      <c r="AO106">
        <v>7</v>
      </c>
      <c r="AP106">
        <v>16.64</v>
      </c>
      <c r="AQ106">
        <v>7</v>
      </c>
    </row>
    <row r="107" spans="1:43" x14ac:dyDescent="0.2">
      <c r="A107" t="s">
        <v>1782</v>
      </c>
      <c r="B107">
        <v>2026</v>
      </c>
      <c r="C107" t="s">
        <v>519</v>
      </c>
      <c r="D107">
        <v>0</v>
      </c>
      <c r="E107" t="s">
        <v>1003</v>
      </c>
      <c r="F107" t="s">
        <v>1888</v>
      </c>
      <c r="G107">
        <v>22</v>
      </c>
      <c r="H107">
        <v>10</v>
      </c>
      <c r="I107">
        <v>6.0788000000000002</v>
      </c>
      <c r="J107">
        <v>106</v>
      </c>
      <c r="K107">
        <v>0.65249999999999997</v>
      </c>
      <c r="L107">
        <v>106</v>
      </c>
      <c r="M107">
        <v>114.048</v>
      </c>
      <c r="N107">
        <v>98</v>
      </c>
      <c r="O107">
        <v>114.02200000000001</v>
      </c>
      <c r="P107">
        <v>73</v>
      </c>
      <c r="Q107">
        <v>107.97</v>
      </c>
      <c r="R107">
        <v>142</v>
      </c>
      <c r="S107">
        <v>107.488</v>
      </c>
      <c r="T107">
        <v>147</v>
      </c>
      <c r="U107">
        <v>70.494</v>
      </c>
      <c r="V107">
        <v>76</v>
      </c>
      <c r="W107">
        <v>70.221500000000006</v>
      </c>
      <c r="X107">
        <v>37</v>
      </c>
      <c r="Y107">
        <v>3.7000000000000002E-3</v>
      </c>
      <c r="Z107">
        <v>181</v>
      </c>
      <c r="AA107">
        <v>-0.28399999999999997</v>
      </c>
      <c r="AB107">
        <v>159</v>
      </c>
      <c r="AC107">
        <v>109.73099999999999</v>
      </c>
      <c r="AD107">
        <v>135</v>
      </c>
      <c r="AE107">
        <v>110.015</v>
      </c>
      <c r="AF107">
        <v>184</v>
      </c>
      <c r="AG107">
        <v>6.0255999999999998</v>
      </c>
      <c r="AH107">
        <v>53</v>
      </c>
      <c r="AJ107">
        <v>16.68</v>
      </c>
      <c r="AK107">
        <v>74</v>
      </c>
      <c r="AL107">
        <v>17.309999999999999</v>
      </c>
      <c r="AM107">
        <v>128</v>
      </c>
      <c r="AN107">
        <v>17.13</v>
      </c>
      <c r="AO107">
        <v>3</v>
      </c>
      <c r="AP107">
        <v>17.350000000000001</v>
      </c>
      <c r="AQ107">
        <v>1</v>
      </c>
    </row>
    <row r="108" spans="1:43" x14ac:dyDescent="0.2">
      <c r="A108" t="s">
        <v>1782</v>
      </c>
      <c r="B108">
        <v>2026</v>
      </c>
      <c r="C108" t="s">
        <v>649</v>
      </c>
      <c r="D108">
        <v>0</v>
      </c>
      <c r="E108" t="s">
        <v>918</v>
      </c>
      <c r="F108" t="s">
        <v>1889</v>
      </c>
      <c r="G108">
        <v>17</v>
      </c>
      <c r="H108">
        <v>16</v>
      </c>
      <c r="I108">
        <v>5.9607000000000001</v>
      </c>
      <c r="J108">
        <v>107</v>
      </c>
      <c r="K108">
        <v>0.64829999999999999</v>
      </c>
      <c r="L108">
        <v>108</v>
      </c>
      <c r="M108">
        <v>115.08</v>
      </c>
      <c r="N108">
        <v>85</v>
      </c>
      <c r="O108">
        <v>111.032</v>
      </c>
      <c r="P108">
        <v>123</v>
      </c>
      <c r="Q108">
        <v>109.12</v>
      </c>
      <c r="R108">
        <v>167</v>
      </c>
      <c r="S108">
        <v>111.223</v>
      </c>
      <c r="T108">
        <v>250</v>
      </c>
      <c r="U108">
        <v>70.626900000000006</v>
      </c>
      <c r="V108">
        <v>72</v>
      </c>
      <c r="W108">
        <v>69.820700000000002</v>
      </c>
      <c r="X108">
        <v>55</v>
      </c>
      <c r="Y108">
        <v>3.2000000000000002E-3</v>
      </c>
      <c r="Z108">
        <v>183</v>
      </c>
      <c r="AA108">
        <v>6.4058999999999999</v>
      </c>
      <c r="AB108">
        <v>83</v>
      </c>
      <c r="AC108">
        <v>112.672</v>
      </c>
      <c r="AD108">
        <v>84</v>
      </c>
      <c r="AE108">
        <v>106.26600000000001</v>
      </c>
      <c r="AF108">
        <v>83</v>
      </c>
      <c r="AG108">
        <v>1.1033999999999999</v>
      </c>
      <c r="AH108">
        <v>148</v>
      </c>
      <c r="AJ108">
        <v>16.62</v>
      </c>
      <c r="AK108">
        <v>69</v>
      </c>
      <c r="AL108">
        <v>17.47</v>
      </c>
      <c r="AM108">
        <v>168</v>
      </c>
      <c r="AN108">
        <v>17.07</v>
      </c>
      <c r="AO108">
        <v>4</v>
      </c>
      <c r="AP108">
        <v>18.04</v>
      </c>
      <c r="AQ108">
        <v>6</v>
      </c>
    </row>
    <row r="109" spans="1:43" x14ac:dyDescent="0.2">
      <c r="A109" t="s">
        <v>1782</v>
      </c>
      <c r="B109">
        <v>2026</v>
      </c>
      <c r="C109" t="s">
        <v>569</v>
      </c>
      <c r="D109">
        <v>0</v>
      </c>
      <c r="E109" t="s">
        <v>1006</v>
      </c>
      <c r="F109" t="s">
        <v>1890</v>
      </c>
      <c r="G109">
        <v>24</v>
      </c>
      <c r="H109">
        <v>9</v>
      </c>
      <c r="I109">
        <v>5.9196999999999997</v>
      </c>
      <c r="J109">
        <v>108</v>
      </c>
      <c r="K109">
        <v>0.64849999999999997</v>
      </c>
      <c r="L109">
        <v>107</v>
      </c>
      <c r="M109">
        <v>114.17400000000001</v>
      </c>
      <c r="N109">
        <v>95</v>
      </c>
      <c r="O109">
        <v>117.357</v>
      </c>
      <c r="P109">
        <v>42</v>
      </c>
      <c r="Q109">
        <v>108.254</v>
      </c>
      <c r="R109">
        <v>147</v>
      </c>
      <c r="S109">
        <v>105.172</v>
      </c>
      <c r="T109">
        <v>98</v>
      </c>
      <c r="U109">
        <v>69.687899999999999</v>
      </c>
      <c r="V109">
        <v>109</v>
      </c>
      <c r="W109">
        <v>68.274000000000001</v>
      </c>
      <c r="X109">
        <v>127</v>
      </c>
      <c r="Y109">
        <v>-3.3799999999999997E-2</v>
      </c>
      <c r="Z109">
        <v>282</v>
      </c>
      <c r="AA109">
        <v>-5.6348000000000003</v>
      </c>
      <c r="AB109">
        <v>274</v>
      </c>
      <c r="AC109">
        <v>107.46599999999999</v>
      </c>
      <c r="AD109">
        <v>259</v>
      </c>
      <c r="AE109">
        <v>113.101</v>
      </c>
      <c r="AF109">
        <v>319</v>
      </c>
      <c r="AG109">
        <v>-0.89339999999999997</v>
      </c>
      <c r="AH109">
        <v>209</v>
      </c>
      <c r="AJ109">
        <v>16.91</v>
      </c>
      <c r="AK109">
        <v>95</v>
      </c>
      <c r="AL109">
        <v>17.52</v>
      </c>
      <c r="AM109">
        <v>177</v>
      </c>
      <c r="AN109">
        <v>16.88</v>
      </c>
      <c r="AO109">
        <v>1</v>
      </c>
      <c r="AP109">
        <v>17.54</v>
      </c>
      <c r="AQ109">
        <v>5</v>
      </c>
    </row>
    <row r="110" spans="1:43" x14ac:dyDescent="0.2">
      <c r="A110" t="s">
        <v>1782</v>
      </c>
      <c r="B110">
        <v>2026</v>
      </c>
      <c r="C110" t="s">
        <v>647</v>
      </c>
      <c r="D110">
        <v>0</v>
      </c>
      <c r="E110" t="s">
        <v>980</v>
      </c>
      <c r="F110" t="s">
        <v>1891</v>
      </c>
      <c r="G110">
        <v>26</v>
      </c>
      <c r="H110">
        <v>6</v>
      </c>
      <c r="I110">
        <v>5.7736999999999998</v>
      </c>
      <c r="J110">
        <v>109</v>
      </c>
      <c r="K110">
        <v>0.64759999999999995</v>
      </c>
      <c r="L110">
        <v>109</v>
      </c>
      <c r="M110">
        <v>112.003</v>
      </c>
      <c r="N110">
        <v>120</v>
      </c>
      <c r="O110">
        <v>113.762</v>
      </c>
      <c r="P110">
        <v>77</v>
      </c>
      <c r="Q110">
        <v>106.229</v>
      </c>
      <c r="R110">
        <v>111</v>
      </c>
      <c r="S110">
        <v>102.143</v>
      </c>
      <c r="T110">
        <v>49</v>
      </c>
      <c r="U110">
        <v>66.213800000000006</v>
      </c>
      <c r="V110">
        <v>288</v>
      </c>
      <c r="W110">
        <v>65.084599999999995</v>
      </c>
      <c r="X110">
        <v>304</v>
      </c>
      <c r="Y110">
        <v>2.7799999999999998E-2</v>
      </c>
      <c r="Z110">
        <v>118</v>
      </c>
      <c r="AA110">
        <v>-5.1197999999999997</v>
      </c>
      <c r="AB110">
        <v>266</v>
      </c>
      <c r="AC110">
        <v>106.536</v>
      </c>
      <c r="AD110">
        <v>281</v>
      </c>
      <c r="AE110">
        <v>111.65600000000001</v>
      </c>
      <c r="AF110">
        <v>249</v>
      </c>
      <c r="AG110">
        <v>-8.3513999999999999</v>
      </c>
      <c r="AH110">
        <v>350</v>
      </c>
      <c r="AJ110">
        <v>18.79</v>
      </c>
      <c r="AK110">
        <v>315</v>
      </c>
      <c r="AL110">
        <v>17.29</v>
      </c>
      <c r="AM110">
        <v>121</v>
      </c>
      <c r="AN110">
        <v>18.670000000000002</v>
      </c>
      <c r="AO110">
        <v>10</v>
      </c>
      <c r="AP110">
        <v>17.46</v>
      </c>
      <c r="AQ110">
        <v>4</v>
      </c>
    </row>
    <row r="111" spans="1:43" x14ac:dyDescent="0.2">
      <c r="A111" t="s">
        <v>1782</v>
      </c>
      <c r="B111">
        <v>2026</v>
      </c>
      <c r="C111" t="s">
        <v>133</v>
      </c>
      <c r="D111">
        <v>0</v>
      </c>
      <c r="E111" t="s">
        <v>926</v>
      </c>
      <c r="F111" t="s">
        <v>1892</v>
      </c>
      <c r="G111">
        <v>20</v>
      </c>
      <c r="H111">
        <v>12</v>
      </c>
      <c r="I111">
        <v>5.6509</v>
      </c>
      <c r="J111">
        <v>110</v>
      </c>
      <c r="K111">
        <v>0.6472</v>
      </c>
      <c r="L111">
        <v>110</v>
      </c>
      <c r="M111">
        <v>109.98699999999999</v>
      </c>
      <c r="N111">
        <v>157</v>
      </c>
      <c r="O111">
        <v>107.953</v>
      </c>
      <c r="P111">
        <v>187</v>
      </c>
      <c r="Q111">
        <v>104.336</v>
      </c>
      <c r="R111">
        <v>80</v>
      </c>
      <c r="S111">
        <v>104.40600000000001</v>
      </c>
      <c r="T111">
        <v>82</v>
      </c>
      <c r="U111">
        <v>64.040499999999994</v>
      </c>
      <c r="V111">
        <v>354</v>
      </c>
      <c r="W111">
        <v>63.721899999999998</v>
      </c>
      <c r="X111">
        <v>342</v>
      </c>
      <c r="Y111">
        <v>3.9699999999999999E-2</v>
      </c>
      <c r="Z111">
        <v>87</v>
      </c>
      <c r="AA111">
        <v>1.8506</v>
      </c>
      <c r="AB111">
        <v>112</v>
      </c>
      <c r="AC111">
        <v>109.83499999999999</v>
      </c>
      <c r="AD111">
        <v>130</v>
      </c>
      <c r="AE111">
        <v>107.98399999999999</v>
      </c>
      <c r="AF111">
        <v>117</v>
      </c>
      <c r="AG111">
        <v>-0.12559999999999999</v>
      </c>
      <c r="AH111">
        <v>192</v>
      </c>
      <c r="AJ111">
        <v>18.43</v>
      </c>
      <c r="AK111">
        <v>281</v>
      </c>
      <c r="AL111">
        <v>18.91</v>
      </c>
      <c r="AM111">
        <v>360</v>
      </c>
      <c r="AN111">
        <v>18.66</v>
      </c>
      <c r="AO111">
        <v>11</v>
      </c>
      <c r="AP111">
        <v>19.2</v>
      </c>
      <c r="AQ111">
        <v>14</v>
      </c>
    </row>
    <row r="112" spans="1:43" x14ac:dyDescent="0.2">
      <c r="A112" t="s">
        <v>1782</v>
      </c>
      <c r="B112">
        <v>2026</v>
      </c>
      <c r="C112" t="s">
        <v>457</v>
      </c>
      <c r="D112">
        <v>0</v>
      </c>
      <c r="E112" t="s">
        <v>896</v>
      </c>
      <c r="F112" t="s">
        <v>1893</v>
      </c>
      <c r="G112">
        <v>18</v>
      </c>
      <c r="H112">
        <v>15</v>
      </c>
      <c r="I112">
        <v>5.4814999999999996</v>
      </c>
      <c r="J112">
        <v>111</v>
      </c>
      <c r="K112">
        <v>0.64180000000000004</v>
      </c>
      <c r="L112">
        <v>112</v>
      </c>
      <c r="M112">
        <v>110.86799999999999</v>
      </c>
      <c r="N112">
        <v>142</v>
      </c>
      <c r="O112">
        <v>107.93</v>
      </c>
      <c r="P112">
        <v>188</v>
      </c>
      <c r="Q112">
        <v>105.386</v>
      </c>
      <c r="R112">
        <v>98</v>
      </c>
      <c r="S112">
        <v>105.715</v>
      </c>
      <c r="T112">
        <v>106</v>
      </c>
      <c r="U112">
        <v>65.819000000000003</v>
      </c>
      <c r="V112">
        <v>304</v>
      </c>
      <c r="W112">
        <v>64.308700000000002</v>
      </c>
      <c r="X112">
        <v>332</v>
      </c>
      <c r="Y112">
        <v>-0.02</v>
      </c>
      <c r="Z112">
        <v>239</v>
      </c>
      <c r="AA112">
        <v>2.9508000000000001</v>
      </c>
      <c r="AB112">
        <v>105</v>
      </c>
      <c r="AC112">
        <v>110.673</v>
      </c>
      <c r="AD112">
        <v>104</v>
      </c>
      <c r="AE112">
        <v>107.72199999999999</v>
      </c>
      <c r="AF112">
        <v>111</v>
      </c>
      <c r="AG112">
        <v>4.8000000000000001E-2</v>
      </c>
      <c r="AH112">
        <v>185</v>
      </c>
      <c r="AJ112">
        <v>19.14</v>
      </c>
      <c r="AK112">
        <v>339</v>
      </c>
      <c r="AL112">
        <v>17.16</v>
      </c>
      <c r="AM112">
        <v>94</v>
      </c>
      <c r="AN112">
        <v>19.28</v>
      </c>
      <c r="AO112">
        <v>12</v>
      </c>
      <c r="AP112">
        <v>17.39</v>
      </c>
      <c r="AQ112">
        <v>4</v>
      </c>
    </row>
    <row r="113" spans="1:43" x14ac:dyDescent="0.2">
      <c r="A113" t="s">
        <v>1782</v>
      </c>
      <c r="B113">
        <v>2026</v>
      </c>
      <c r="C113" t="s">
        <v>75</v>
      </c>
      <c r="D113">
        <v>0</v>
      </c>
      <c r="E113" t="s">
        <v>983</v>
      </c>
      <c r="F113" t="s">
        <v>1894</v>
      </c>
      <c r="G113">
        <v>23</v>
      </c>
      <c r="H113">
        <v>8</v>
      </c>
      <c r="I113">
        <v>5.4123999999999999</v>
      </c>
      <c r="J113">
        <v>112</v>
      </c>
      <c r="K113">
        <v>0.64349999999999996</v>
      </c>
      <c r="L113">
        <v>111</v>
      </c>
      <c r="M113">
        <v>108.10599999999999</v>
      </c>
      <c r="N113">
        <v>191</v>
      </c>
      <c r="O113">
        <v>106.881</v>
      </c>
      <c r="P113">
        <v>211</v>
      </c>
      <c r="Q113">
        <v>102.693</v>
      </c>
      <c r="R113">
        <v>55</v>
      </c>
      <c r="S113">
        <v>99.234300000000005</v>
      </c>
      <c r="T113">
        <v>24</v>
      </c>
      <c r="U113">
        <v>67.384900000000002</v>
      </c>
      <c r="V113">
        <v>228</v>
      </c>
      <c r="W113">
        <v>65.622</v>
      </c>
      <c r="X113">
        <v>276</v>
      </c>
      <c r="Y113">
        <v>8.4000000000000005E-2</v>
      </c>
      <c r="Z113">
        <v>22</v>
      </c>
      <c r="AA113">
        <v>-2.3068</v>
      </c>
      <c r="AB113">
        <v>210</v>
      </c>
      <c r="AC113">
        <v>106.932</v>
      </c>
      <c r="AD113">
        <v>274</v>
      </c>
      <c r="AE113">
        <v>109.239</v>
      </c>
      <c r="AF113">
        <v>160</v>
      </c>
      <c r="AG113">
        <v>-3.3212000000000002</v>
      </c>
      <c r="AH113">
        <v>273</v>
      </c>
      <c r="AJ113">
        <v>18.2</v>
      </c>
      <c r="AK113">
        <v>255</v>
      </c>
      <c r="AL113">
        <v>16.97</v>
      </c>
      <c r="AM113">
        <v>61</v>
      </c>
      <c r="AN113">
        <v>18.55</v>
      </c>
      <c r="AO113">
        <v>6</v>
      </c>
      <c r="AP113">
        <v>17.43</v>
      </c>
      <c r="AQ113">
        <v>3</v>
      </c>
    </row>
    <row r="114" spans="1:43" x14ac:dyDescent="0.2">
      <c r="A114" t="s">
        <v>1782</v>
      </c>
      <c r="B114">
        <v>2026</v>
      </c>
      <c r="C114" t="s">
        <v>413</v>
      </c>
      <c r="D114">
        <v>0</v>
      </c>
      <c r="E114" t="s">
        <v>1006</v>
      </c>
      <c r="F114" t="s">
        <v>1895</v>
      </c>
      <c r="G114">
        <v>27</v>
      </c>
      <c r="H114">
        <v>7</v>
      </c>
      <c r="I114">
        <v>5.1734999999999998</v>
      </c>
      <c r="J114">
        <v>113</v>
      </c>
      <c r="K114">
        <v>0.63280000000000003</v>
      </c>
      <c r="L114">
        <v>114</v>
      </c>
      <c r="M114">
        <v>111.964</v>
      </c>
      <c r="N114">
        <v>121</v>
      </c>
      <c r="O114">
        <v>114.563</v>
      </c>
      <c r="P114">
        <v>68</v>
      </c>
      <c r="Q114">
        <v>106.79</v>
      </c>
      <c r="R114">
        <v>122</v>
      </c>
      <c r="S114">
        <v>102.59699999999999</v>
      </c>
      <c r="T114">
        <v>55</v>
      </c>
      <c r="U114">
        <v>68.027299999999997</v>
      </c>
      <c r="V114">
        <v>198</v>
      </c>
      <c r="W114">
        <v>66.329400000000007</v>
      </c>
      <c r="X114">
        <v>236</v>
      </c>
      <c r="Y114">
        <v>3.95E-2</v>
      </c>
      <c r="Z114">
        <v>90</v>
      </c>
      <c r="AA114">
        <v>-5.8079000000000001</v>
      </c>
      <c r="AB114">
        <v>280</v>
      </c>
      <c r="AC114">
        <v>106.619</v>
      </c>
      <c r="AD114">
        <v>279</v>
      </c>
      <c r="AE114">
        <v>112.42700000000001</v>
      </c>
      <c r="AF114">
        <v>291</v>
      </c>
      <c r="AG114">
        <v>-0.93510000000000004</v>
      </c>
      <c r="AH114">
        <v>212</v>
      </c>
      <c r="AJ114">
        <v>17.59</v>
      </c>
      <c r="AK114">
        <v>181</v>
      </c>
      <c r="AL114">
        <v>17.71</v>
      </c>
      <c r="AM114">
        <v>230</v>
      </c>
      <c r="AN114">
        <v>17.89</v>
      </c>
      <c r="AO114">
        <v>8</v>
      </c>
      <c r="AP114">
        <v>18.190000000000001</v>
      </c>
      <c r="AQ114">
        <v>9</v>
      </c>
    </row>
    <row r="115" spans="1:43" x14ac:dyDescent="0.2">
      <c r="A115" t="s">
        <v>1782</v>
      </c>
      <c r="B115">
        <v>2026</v>
      </c>
      <c r="C115" t="s">
        <v>223</v>
      </c>
      <c r="D115">
        <v>0</v>
      </c>
      <c r="E115" t="s">
        <v>1001</v>
      </c>
      <c r="F115" t="s">
        <v>1896</v>
      </c>
      <c r="G115">
        <v>22</v>
      </c>
      <c r="H115">
        <v>8</v>
      </c>
      <c r="I115">
        <v>5.0606</v>
      </c>
      <c r="J115">
        <v>114</v>
      </c>
      <c r="K115">
        <v>0.63539999999999996</v>
      </c>
      <c r="L115">
        <v>113</v>
      </c>
      <c r="M115">
        <v>107.32899999999999</v>
      </c>
      <c r="N115">
        <v>207</v>
      </c>
      <c r="O115">
        <v>108.66</v>
      </c>
      <c r="P115">
        <v>172</v>
      </c>
      <c r="Q115">
        <v>102.268</v>
      </c>
      <c r="R115">
        <v>50</v>
      </c>
      <c r="S115">
        <v>97.177499999999995</v>
      </c>
      <c r="T115">
        <v>11</v>
      </c>
      <c r="U115">
        <v>72.2988</v>
      </c>
      <c r="V115">
        <v>21</v>
      </c>
      <c r="W115">
        <v>69.741500000000002</v>
      </c>
      <c r="X115">
        <v>61</v>
      </c>
      <c r="Y115">
        <v>2.8400000000000002E-2</v>
      </c>
      <c r="Z115">
        <v>113</v>
      </c>
      <c r="AA115">
        <v>-3.8519999999999999</v>
      </c>
      <c r="AB115">
        <v>242</v>
      </c>
      <c r="AC115">
        <v>106.605</v>
      </c>
      <c r="AD115">
        <v>280</v>
      </c>
      <c r="AE115">
        <v>110.45699999999999</v>
      </c>
      <c r="AF115">
        <v>204</v>
      </c>
      <c r="AG115">
        <v>-11.2051</v>
      </c>
      <c r="AH115">
        <v>364</v>
      </c>
      <c r="AJ115">
        <v>16.84</v>
      </c>
      <c r="AK115">
        <v>88</v>
      </c>
      <c r="AL115">
        <v>16.54</v>
      </c>
      <c r="AM115">
        <v>12</v>
      </c>
      <c r="AN115">
        <v>17.02</v>
      </c>
      <c r="AO115">
        <v>5</v>
      </c>
      <c r="AP115">
        <v>16.329999999999998</v>
      </c>
      <c r="AQ115">
        <v>4</v>
      </c>
    </row>
    <row r="116" spans="1:43" x14ac:dyDescent="0.2">
      <c r="A116" t="s">
        <v>1782</v>
      </c>
      <c r="B116">
        <v>2026</v>
      </c>
      <c r="C116" t="s">
        <v>655</v>
      </c>
      <c r="D116">
        <v>0</v>
      </c>
      <c r="E116" t="s">
        <v>956</v>
      </c>
      <c r="F116" t="s">
        <v>1897</v>
      </c>
      <c r="G116">
        <v>19</v>
      </c>
      <c r="H116">
        <v>14</v>
      </c>
      <c r="I116">
        <v>4.5953999999999997</v>
      </c>
      <c r="J116">
        <v>115</v>
      </c>
      <c r="K116">
        <v>0.61899999999999999</v>
      </c>
      <c r="L116">
        <v>118</v>
      </c>
      <c r="M116">
        <v>111.164</v>
      </c>
      <c r="N116">
        <v>135</v>
      </c>
      <c r="O116">
        <v>109.65600000000001</v>
      </c>
      <c r="P116">
        <v>146</v>
      </c>
      <c r="Q116">
        <v>106.568</v>
      </c>
      <c r="R116">
        <v>117</v>
      </c>
      <c r="S116">
        <v>104.714</v>
      </c>
      <c r="T116">
        <v>87</v>
      </c>
      <c r="U116">
        <v>66.524299999999997</v>
      </c>
      <c r="V116">
        <v>272</v>
      </c>
      <c r="W116">
        <v>66.376800000000003</v>
      </c>
      <c r="X116">
        <v>230</v>
      </c>
      <c r="Y116">
        <v>-5.6099999999999997E-2</v>
      </c>
      <c r="Z116">
        <v>319</v>
      </c>
      <c r="AA116">
        <v>-1.2410000000000001</v>
      </c>
      <c r="AB116">
        <v>179</v>
      </c>
      <c r="AC116">
        <v>107.98099999999999</v>
      </c>
      <c r="AD116">
        <v>239</v>
      </c>
      <c r="AE116">
        <v>109.22199999999999</v>
      </c>
      <c r="AF116">
        <v>157</v>
      </c>
      <c r="AG116">
        <v>8.3102</v>
      </c>
      <c r="AH116">
        <v>25</v>
      </c>
      <c r="AJ116">
        <v>17.89</v>
      </c>
      <c r="AK116">
        <v>224</v>
      </c>
      <c r="AL116">
        <v>17.48</v>
      </c>
      <c r="AM116">
        <v>169</v>
      </c>
      <c r="AN116">
        <v>18.25</v>
      </c>
      <c r="AO116">
        <v>7</v>
      </c>
      <c r="AP116">
        <v>17.989999999999998</v>
      </c>
      <c r="AQ116">
        <v>6</v>
      </c>
    </row>
    <row r="117" spans="1:43" x14ac:dyDescent="0.2">
      <c r="A117" t="s">
        <v>1782</v>
      </c>
      <c r="B117">
        <v>2026</v>
      </c>
      <c r="C117" t="s">
        <v>555</v>
      </c>
      <c r="D117">
        <v>0</v>
      </c>
      <c r="E117" t="s">
        <v>959</v>
      </c>
      <c r="F117" t="s">
        <v>1898</v>
      </c>
      <c r="G117">
        <v>16</v>
      </c>
      <c r="H117">
        <v>16</v>
      </c>
      <c r="I117">
        <v>4.5808999999999997</v>
      </c>
      <c r="J117">
        <v>116</v>
      </c>
      <c r="K117">
        <v>0.62680000000000002</v>
      </c>
      <c r="L117">
        <v>116</v>
      </c>
      <c r="M117">
        <v>103.94199999999999</v>
      </c>
      <c r="N117">
        <v>274</v>
      </c>
      <c r="O117">
        <v>102.905</v>
      </c>
      <c r="P117">
        <v>291</v>
      </c>
      <c r="Q117">
        <v>99.360900000000001</v>
      </c>
      <c r="R117">
        <v>29</v>
      </c>
      <c r="S117">
        <v>99.566400000000002</v>
      </c>
      <c r="T117">
        <v>25</v>
      </c>
      <c r="U117">
        <v>69.717100000000002</v>
      </c>
      <c r="V117">
        <v>105</v>
      </c>
      <c r="W117">
        <v>68.921599999999998</v>
      </c>
      <c r="X117">
        <v>97</v>
      </c>
      <c r="Y117">
        <v>-9.4100000000000003E-2</v>
      </c>
      <c r="Z117">
        <v>355</v>
      </c>
      <c r="AA117">
        <v>1.8096000000000001</v>
      </c>
      <c r="AB117">
        <v>114</v>
      </c>
      <c r="AC117">
        <v>110.06699999999999</v>
      </c>
      <c r="AD117">
        <v>122</v>
      </c>
      <c r="AE117">
        <v>108.25700000000001</v>
      </c>
      <c r="AF117">
        <v>123</v>
      </c>
      <c r="AG117">
        <v>-0.12139999999999999</v>
      </c>
      <c r="AH117">
        <v>191</v>
      </c>
      <c r="AJ117">
        <v>16.46</v>
      </c>
      <c r="AK117">
        <v>55</v>
      </c>
      <c r="AL117">
        <v>17.87</v>
      </c>
      <c r="AM117">
        <v>263</v>
      </c>
      <c r="AN117">
        <v>16.82</v>
      </c>
      <c r="AO117">
        <v>3</v>
      </c>
      <c r="AP117">
        <v>17.940000000000001</v>
      </c>
      <c r="AQ117">
        <v>7</v>
      </c>
    </row>
    <row r="118" spans="1:43" x14ac:dyDescent="0.2">
      <c r="A118" t="s">
        <v>1782</v>
      </c>
      <c r="B118">
        <v>2026</v>
      </c>
      <c r="C118" t="s">
        <v>629</v>
      </c>
      <c r="D118">
        <v>0</v>
      </c>
      <c r="E118" t="s">
        <v>1001</v>
      </c>
      <c r="F118" t="s">
        <v>1899</v>
      </c>
      <c r="G118">
        <v>23</v>
      </c>
      <c r="H118">
        <v>11</v>
      </c>
      <c r="I118">
        <v>4.5598000000000001</v>
      </c>
      <c r="J118">
        <v>117</v>
      </c>
      <c r="K118">
        <v>0.62150000000000005</v>
      </c>
      <c r="L118">
        <v>117</v>
      </c>
      <c r="M118">
        <v>108.068</v>
      </c>
      <c r="N118">
        <v>192</v>
      </c>
      <c r="O118">
        <v>106.88800000000001</v>
      </c>
      <c r="P118">
        <v>210</v>
      </c>
      <c r="Q118">
        <v>103.508</v>
      </c>
      <c r="R118">
        <v>67</v>
      </c>
      <c r="S118">
        <v>101.226</v>
      </c>
      <c r="T118">
        <v>39</v>
      </c>
      <c r="U118">
        <v>69.755499999999998</v>
      </c>
      <c r="V118">
        <v>102</v>
      </c>
      <c r="W118">
        <v>67.197199999999995</v>
      </c>
      <c r="X118">
        <v>190</v>
      </c>
      <c r="Y118">
        <v>9.9000000000000008E-3</v>
      </c>
      <c r="Z118">
        <v>158</v>
      </c>
      <c r="AA118">
        <v>-1.0082</v>
      </c>
      <c r="AB118">
        <v>174</v>
      </c>
      <c r="AC118">
        <v>107.982</v>
      </c>
      <c r="AD118">
        <v>238</v>
      </c>
      <c r="AE118">
        <v>108.99</v>
      </c>
      <c r="AF118">
        <v>149</v>
      </c>
      <c r="AG118">
        <v>0.316</v>
      </c>
      <c r="AH118">
        <v>175</v>
      </c>
      <c r="AJ118">
        <v>16.91</v>
      </c>
      <c r="AK118">
        <v>97</v>
      </c>
      <c r="AL118">
        <v>17.46</v>
      </c>
      <c r="AM118">
        <v>165</v>
      </c>
      <c r="AN118">
        <v>17.100000000000001</v>
      </c>
      <c r="AO118">
        <v>6</v>
      </c>
      <c r="AP118">
        <v>17.32</v>
      </c>
      <c r="AQ118">
        <v>9</v>
      </c>
    </row>
    <row r="119" spans="1:43" x14ac:dyDescent="0.2">
      <c r="A119" t="s">
        <v>1782</v>
      </c>
      <c r="B119">
        <v>2026</v>
      </c>
      <c r="C119" t="s">
        <v>533</v>
      </c>
      <c r="D119">
        <v>0</v>
      </c>
      <c r="E119" t="s">
        <v>896</v>
      </c>
      <c r="F119" t="s">
        <v>1900</v>
      </c>
      <c r="G119">
        <v>20</v>
      </c>
      <c r="H119">
        <v>13</v>
      </c>
      <c r="I119">
        <v>4.5373000000000001</v>
      </c>
      <c r="J119">
        <v>118</v>
      </c>
      <c r="K119">
        <v>0.62739999999999996</v>
      </c>
      <c r="L119">
        <v>115</v>
      </c>
      <c r="M119">
        <v>102.40900000000001</v>
      </c>
      <c r="N119">
        <v>297</v>
      </c>
      <c r="O119">
        <v>101.215</v>
      </c>
      <c r="P119">
        <v>312</v>
      </c>
      <c r="Q119">
        <v>97.871700000000004</v>
      </c>
      <c r="R119">
        <v>22</v>
      </c>
      <c r="S119">
        <v>98.786299999999997</v>
      </c>
      <c r="T119">
        <v>21</v>
      </c>
      <c r="U119">
        <v>68.624300000000005</v>
      </c>
      <c r="V119">
        <v>168</v>
      </c>
      <c r="W119">
        <v>67.642099999999999</v>
      </c>
      <c r="X119">
        <v>166</v>
      </c>
      <c r="Y119">
        <v>1.6899999999999998E-2</v>
      </c>
      <c r="Z119">
        <v>135</v>
      </c>
      <c r="AA119">
        <v>1.635</v>
      </c>
      <c r="AB119">
        <v>115</v>
      </c>
      <c r="AC119">
        <v>110.797</v>
      </c>
      <c r="AD119">
        <v>103</v>
      </c>
      <c r="AE119">
        <v>109.16200000000001</v>
      </c>
      <c r="AF119">
        <v>155</v>
      </c>
      <c r="AG119">
        <v>-3.5186000000000002</v>
      </c>
      <c r="AH119">
        <v>279</v>
      </c>
      <c r="AJ119">
        <v>17.260000000000002</v>
      </c>
      <c r="AK119">
        <v>142</v>
      </c>
      <c r="AL119">
        <v>17.920000000000002</v>
      </c>
      <c r="AM119">
        <v>277</v>
      </c>
      <c r="AN119">
        <v>17.64</v>
      </c>
      <c r="AO119">
        <v>7</v>
      </c>
      <c r="AP119">
        <v>17.79</v>
      </c>
      <c r="AQ119">
        <v>8</v>
      </c>
    </row>
    <row r="120" spans="1:43" x14ac:dyDescent="0.2">
      <c r="A120" t="s">
        <v>1782</v>
      </c>
      <c r="B120">
        <v>2026</v>
      </c>
      <c r="C120" t="s">
        <v>527</v>
      </c>
      <c r="D120">
        <v>0</v>
      </c>
      <c r="E120" t="s">
        <v>896</v>
      </c>
      <c r="F120" t="s">
        <v>1901</v>
      </c>
      <c r="G120">
        <v>17</v>
      </c>
      <c r="H120">
        <v>16</v>
      </c>
      <c r="I120">
        <v>4.2542999999999997</v>
      </c>
      <c r="J120">
        <v>119</v>
      </c>
      <c r="K120">
        <v>0.60780000000000001</v>
      </c>
      <c r="L120">
        <v>121</v>
      </c>
      <c r="M120">
        <v>113.79900000000001</v>
      </c>
      <c r="N120">
        <v>102</v>
      </c>
      <c r="O120">
        <v>110.23</v>
      </c>
      <c r="P120">
        <v>134</v>
      </c>
      <c r="Q120">
        <v>109.545</v>
      </c>
      <c r="R120">
        <v>180</v>
      </c>
      <c r="S120">
        <v>109.913</v>
      </c>
      <c r="T120">
        <v>219</v>
      </c>
      <c r="U120">
        <v>66.73</v>
      </c>
      <c r="V120">
        <v>256</v>
      </c>
      <c r="W120">
        <v>65.9876</v>
      </c>
      <c r="X120">
        <v>258</v>
      </c>
      <c r="Y120">
        <v>-5.7999999999999996E-3</v>
      </c>
      <c r="Z120">
        <v>204</v>
      </c>
      <c r="AA120">
        <v>4.1009000000000002</v>
      </c>
      <c r="AB120">
        <v>97</v>
      </c>
      <c r="AC120">
        <v>111.012</v>
      </c>
      <c r="AD120">
        <v>101</v>
      </c>
      <c r="AE120">
        <v>106.911</v>
      </c>
      <c r="AF120">
        <v>93</v>
      </c>
      <c r="AG120">
        <v>0.2833</v>
      </c>
      <c r="AH120">
        <v>176</v>
      </c>
      <c r="AJ120">
        <v>18.48</v>
      </c>
      <c r="AK120">
        <v>290</v>
      </c>
      <c r="AL120">
        <v>17.54</v>
      </c>
      <c r="AM120">
        <v>181</v>
      </c>
      <c r="AN120">
        <v>18.54</v>
      </c>
      <c r="AO120">
        <v>10</v>
      </c>
      <c r="AP120">
        <v>17.28</v>
      </c>
      <c r="AQ120">
        <v>3</v>
      </c>
    </row>
    <row r="121" spans="1:43" x14ac:dyDescent="0.2">
      <c r="A121" t="s">
        <v>1782</v>
      </c>
      <c r="B121">
        <v>2026</v>
      </c>
      <c r="C121" t="s">
        <v>329</v>
      </c>
      <c r="D121">
        <v>0</v>
      </c>
      <c r="E121" t="s">
        <v>883</v>
      </c>
      <c r="F121" t="s">
        <v>1902</v>
      </c>
      <c r="G121">
        <v>12</v>
      </c>
      <c r="H121">
        <v>21</v>
      </c>
      <c r="I121">
        <v>4.2215999999999996</v>
      </c>
      <c r="J121">
        <v>120</v>
      </c>
      <c r="K121">
        <v>0.60940000000000005</v>
      </c>
      <c r="L121">
        <v>119</v>
      </c>
      <c r="M121">
        <v>111.25</v>
      </c>
      <c r="N121">
        <v>134</v>
      </c>
      <c r="O121">
        <v>104.02800000000001</v>
      </c>
      <c r="P121">
        <v>272</v>
      </c>
      <c r="Q121">
        <v>107.02800000000001</v>
      </c>
      <c r="R121">
        <v>126</v>
      </c>
      <c r="S121">
        <v>114.66200000000001</v>
      </c>
      <c r="T121">
        <v>320</v>
      </c>
      <c r="U121">
        <v>66.670299999999997</v>
      </c>
      <c r="V121">
        <v>260</v>
      </c>
      <c r="W121">
        <v>66.150800000000004</v>
      </c>
      <c r="X121">
        <v>249</v>
      </c>
      <c r="Y121">
        <v>1.6299999999999999E-2</v>
      </c>
      <c r="Z121">
        <v>137</v>
      </c>
      <c r="AA121">
        <v>14.6273</v>
      </c>
      <c r="AB121">
        <v>8</v>
      </c>
      <c r="AC121">
        <v>117.53400000000001</v>
      </c>
      <c r="AD121">
        <v>15</v>
      </c>
      <c r="AE121">
        <v>102.907</v>
      </c>
      <c r="AF121">
        <v>7</v>
      </c>
      <c r="AG121">
        <v>1.5539000000000001</v>
      </c>
      <c r="AH121">
        <v>134</v>
      </c>
      <c r="AJ121">
        <v>18.82</v>
      </c>
      <c r="AK121">
        <v>316</v>
      </c>
      <c r="AL121">
        <v>17.2</v>
      </c>
      <c r="AM121">
        <v>103</v>
      </c>
      <c r="AN121">
        <v>19.57</v>
      </c>
      <c r="AO121">
        <v>16</v>
      </c>
      <c r="AP121">
        <v>17.829999999999998</v>
      </c>
      <c r="AQ121">
        <v>2</v>
      </c>
    </row>
    <row r="122" spans="1:43" x14ac:dyDescent="0.2">
      <c r="A122" t="s">
        <v>1782</v>
      </c>
      <c r="B122">
        <v>2026</v>
      </c>
      <c r="C122" t="s">
        <v>379</v>
      </c>
      <c r="D122">
        <v>0</v>
      </c>
      <c r="E122" t="s">
        <v>959</v>
      </c>
      <c r="F122" t="s">
        <v>1903</v>
      </c>
      <c r="G122">
        <v>20</v>
      </c>
      <c r="H122">
        <v>12</v>
      </c>
      <c r="I122">
        <v>4.1394000000000002</v>
      </c>
      <c r="J122">
        <v>121</v>
      </c>
      <c r="K122">
        <v>0.60260000000000002</v>
      </c>
      <c r="L122">
        <v>123</v>
      </c>
      <c r="M122">
        <v>116.42400000000001</v>
      </c>
      <c r="N122">
        <v>74</v>
      </c>
      <c r="O122">
        <v>115.23099999999999</v>
      </c>
      <c r="P122">
        <v>60</v>
      </c>
      <c r="Q122">
        <v>112.285</v>
      </c>
      <c r="R122">
        <v>237</v>
      </c>
      <c r="S122">
        <v>110.61199999999999</v>
      </c>
      <c r="T122">
        <v>232</v>
      </c>
      <c r="U122">
        <v>72.274199999999993</v>
      </c>
      <c r="V122">
        <v>23</v>
      </c>
      <c r="W122">
        <v>71.566400000000002</v>
      </c>
      <c r="X122">
        <v>15</v>
      </c>
      <c r="Y122">
        <v>4.2500000000000003E-2</v>
      </c>
      <c r="Z122">
        <v>78</v>
      </c>
      <c r="AA122">
        <v>1.1545000000000001</v>
      </c>
      <c r="AB122">
        <v>125</v>
      </c>
      <c r="AC122">
        <v>109.824</v>
      </c>
      <c r="AD122">
        <v>131</v>
      </c>
      <c r="AE122">
        <v>108.67</v>
      </c>
      <c r="AF122">
        <v>143</v>
      </c>
      <c r="AG122">
        <v>-3.8277999999999999</v>
      </c>
      <c r="AH122">
        <v>285</v>
      </c>
      <c r="AJ122">
        <v>16.190000000000001</v>
      </c>
      <c r="AK122">
        <v>39</v>
      </c>
      <c r="AL122">
        <v>16.989999999999998</v>
      </c>
      <c r="AM122">
        <v>64</v>
      </c>
      <c r="AN122">
        <v>16.43</v>
      </c>
      <c r="AO122">
        <v>2</v>
      </c>
      <c r="AP122">
        <v>17.38</v>
      </c>
      <c r="AQ122">
        <v>4</v>
      </c>
    </row>
    <row r="123" spans="1:43" x14ac:dyDescent="0.2">
      <c r="A123" t="s">
        <v>1782</v>
      </c>
      <c r="B123">
        <v>2026</v>
      </c>
      <c r="C123" t="s">
        <v>511</v>
      </c>
      <c r="D123">
        <v>0</v>
      </c>
      <c r="E123" t="s">
        <v>926</v>
      </c>
      <c r="F123" t="s">
        <v>1904</v>
      </c>
      <c r="G123">
        <v>21</v>
      </c>
      <c r="H123">
        <v>10</v>
      </c>
      <c r="I123">
        <v>4.0034000000000001</v>
      </c>
      <c r="J123">
        <v>122</v>
      </c>
      <c r="K123">
        <v>0.6079</v>
      </c>
      <c r="L123">
        <v>120</v>
      </c>
      <c r="M123">
        <v>106.98699999999999</v>
      </c>
      <c r="N123">
        <v>216</v>
      </c>
      <c r="O123">
        <v>105.328</v>
      </c>
      <c r="P123">
        <v>243</v>
      </c>
      <c r="Q123">
        <v>102.983</v>
      </c>
      <c r="R123">
        <v>61</v>
      </c>
      <c r="S123">
        <v>102.455</v>
      </c>
      <c r="T123">
        <v>54</v>
      </c>
      <c r="U123">
        <v>68.367199999999997</v>
      </c>
      <c r="V123">
        <v>180</v>
      </c>
      <c r="W123">
        <v>68.326999999999998</v>
      </c>
      <c r="X123">
        <v>125</v>
      </c>
      <c r="Y123">
        <v>9.3100000000000002E-2</v>
      </c>
      <c r="Z123">
        <v>19</v>
      </c>
      <c r="AA123">
        <v>0.60640000000000005</v>
      </c>
      <c r="AB123">
        <v>136</v>
      </c>
      <c r="AC123">
        <v>108.97</v>
      </c>
      <c r="AD123">
        <v>172</v>
      </c>
      <c r="AE123">
        <v>108.363</v>
      </c>
      <c r="AF123">
        <v>126</v>
      </c>
      <c r="AG123">
        <v>-5.1234999999999999</v>
      </c>
      <c r="AH123">
        <v>303</v>
      </c>
      <c r="AJ123">
        <v>17.670000000000002</v>
      </c>
      <c r="AK123">
        <v>192</v>
      </c>
      <c r="AL123">
        <v>17.399999999999999</v>
      </c>
      <c r="AM123">
        <v>155</v>
      </c>
      <c r="AN123">
        <v>18.22</v>
      </c>
      <c r="AO123">
        <v>8</v>
      </c>
      <c r="AP123">
        <v>17.350000000000001</v>
      </c>
      <c r="AQ123">
        <v>4</v>
      </c>
    </row>
    <row r="124" spans="1:43" x14ac:dyDescent="0.2">
      <c r="A124" t="s">
        <v>1782</v>
      </c>
      <c r="B124">
        <v>2026</v>
      </c>
      <c r="C124" t="s">
        <v>63</v>
      </c>
      <c r="D124">
        <v>0</v>
      </c>
      <c r="E124" t="s">
        <v>959</v>
      </c>
      <c r="F124" t="s">
        <v>1905</v>
      </c>
      <c r="G124">
        <v>21</v>
      </c>
      <c r="H124">
        <v>12</v>
      </c>
      <c r="I124">
        <v>3.9687000000000001</v>
      </c>
      <c r="J124">
        <v>123</v>
      </c>
      <c r="K124">
        <v>0.60240000000000005</v>
      </c>
      <c r="L124">
        <v>125</v>
      </c>
      <c r="M124">
        <v>111.86499999999999</v>
      </c>
      <c r="N124">
        <v>125</v>
      </c>
      <c r="O124">
        <v>110.009</v>
      </c>
      <c r="P124">
        <v>139</v>
      </c>
      <c r="Q124">
        <v>107.896</v>
      </c>
      <c r="R124">
        <v>141</v>
      </c>
      <c r="S124">
        <v>105.63500000000001</v>
      </c>
      <c r="T124">
        <v>104</v>
      </c>
      <c r="U124">
        <v>67.805199999999999</v>
      </c>
      <c r="V124">
        <v>212</v>
      </c>
      <c r="W124">
        <v>67.308999999999997</v>
      </c>
      <c r="X124">
        <v>181</v>
      </c>
      <c r="Y124">
        <v>3.9399999999999998E-2</v>
      </c>
      <c r="Z124">
        <v>91</v>
      </c>
      <c r="AA124">
        <v>0.67410000000000003</v>
      </c>
      <c r="AB124">
        <v>135</v>
      </c>
      <c r="AC124">
        <v>109.111</v>
      </c>
      <c r="AD124">
        <v>166</v>
      </c>
      <c r="AE124">
        <v>108.437</v>
      </c>
      <c r="AF124">
        <v>131</v>
      </c>
      <c r="AG124">
        <v>-5.4348999999999998</v>
      </c>
      <c r="AH124">
        <v>307</v>
      </c>
      <c r="AJ124">
        <v>17.440000000000001</v>
      </c>
      <c r="AK124">
        <v>162</v>
      </c>
      <c r="AL124">
        <v>17.79</v>
      </c>
      <c r="AM124">
        <v>246</v>
      </c>
      <c r="AN124">
        <v>17.760000000000002</v>
      </c>
      <c r="AO124">
        <v>5</v>
      </c>
      <c r="AP124">
        <v>17.739999999999998</v>
      </c>
      <c r="AQ124">
        <v>6</v>
      </c>
    </row>
    <row r="125" spans="1:43" x14ac:dyDescent="0.2">
      <c r="A125" t="s">
        <v>1782</v>
      </c>
      <c r="B125">
        <v>2026</v>
      </c>
      <c r="C125" t="s">
        <v>499</v>
      </c>
      <c r="D125">
        <v>0</v>
      </c>
      <c r="E125" t="s">
        <v>883</v>
      </c>
      <c r="F125" t="s">
        <v>1906</v>
      </c>
      <c r="G125">
        <v>14</v>
      </c>
      <c r="H125">
        <v>19</v>
      </c>
      <c r="I125">
        <v>3.9260000000000002</v>
      </c>
      <c r="J125">
        <v>124</v>
      </c>
      <c r="K125">
        <v>0.60240000000000005</v>
      </c>
      <c r="L125">
        <v>124</v>
      </c>
      <c r="M125">
        <v>110.66200000000001</v>
      </c>
      <c r="N125">
        <v>146</v>
      </c>
      <c r="O125">
        <v>104.774</v>
      </c>
      <c r="P125">
        <v>257</v>
      </c>
      <c r="Q125">
        <v>106.736</v>
      </c>
      <c r="R125">
        <v>120</v>
      </c>
      <c r="S125">
        <v>111.879</v>
      </c>
      <c r="T125">
        <v>268</v>
      </c>
      <c r="U125">
        <v>66.532700000000006</v>
      </c>
      <c r="V125">
        <v>271</v>
      </c>
      <c r="W125">
        <v>66.852500000000006</v>
      </c>
      <c r="X125">
        <v>211</v>
      </c>
      <c r="Y125">
        <v>4.2599999999999999E-2</v>
      </c>
      <c r="Z125">
        <v>77</v>
      </c>
      <c r="AA125">
        <v>11.146100000000001</v>
      </c>
      <c r="AB125">
        <v>48</v>
      </c>
      <c r="AC125">
        <v>115.232</v>
      </c>
      <c r="AD125">
        <v>55</v>
      </c>
      <c r="AE125">
        <v>104.086</v>
      </c>
      <c r="AF125">
        <v>34</v>
      </c>
      <c r="AG125">
        <v>-7.4580000000000002</v>
      </c>
      <c r="AH125">
        <v>341</v>
      </c>
      <c r="AJ125">
        <v>17.91</v>
      </c>
      <c r="AK125">
        <v>228</v>
      </c>
      <c r="AL125">
        <v>18.22</v>
      </c>
      <c r="AM125">
        <v>323</v>
      </c>
      <c r="AN125">
        <v>18.239999999999998</v>
      </c>
      <c r="AO125">
        <v>7</v>
      </c>
      <c r="AP125">
        <v>18.010000000000002</v>
      </c>
      <c r="AQ125">
        <v>4</v>
      </c>
    </row>
    <row r="126" spans="1:43" x14ac:dyDescent="0.2">
      <c r="A126" t="s">
        <v>1782</v>
      </c>
      <c r="B126">
        <v>2026</v>
      </c>
      <c r="C126" t="s">
        <v>293</v>
      </c>
      <c r="D126">
        <v>0</v>
      </c>
      <c r="E126" t="s">
        <v>1003</v>
      </c>
      <c r="F126" t="s">
        <v>1907</v>
      </c>
      <c r="G126">
        <v>25</v>
      </c>
      <c r="H126">
        <v>7</v>
      </c>
      <c r="I126">
        <v>3.9104999999999999</v>
      </c>
      <c r="J126">
        <v>125</v>
      </c>
      <c r="K126">
        <v>0.59589999999999999</v>
      </c>
      <c r="L126">
        <v>126</v>
      </c>
      <c r="M126">
        <v>117.788</v>
      </c>
      <c r="N126">
        <v>58</v>
      </c>
      <c r="O126">
        <v>116.928</v>
      </c>
      <c r="P126">
        <v>47</v>
      </c>
      <c r="Q126">
        <v>113.877</v>
      </c>
      <c r="R126">
        <v>268</v>
      </c>
      <c r="S126">
        <v>110.57299999999999</v>
      </c>
      <c r="T126">
        <v>231</v>
      </c>
      <c r="U126">
        <v>64.649299999999997</v>
      </c>
      <c r="V126">
        <v>338</v>
      </c>
      <c r="W126">
        <v>63.924199999999999</v>
      </c>
      <c r="X126">
        <v>339</v>
      </c>
      <c r="Y126">
        <v>0.14180000000000001</v>
      </c>
      <c r="Z126">
        <v>3</v>
      </c>
      <c r="AA126">
        <v>-1.7927999999999999</v>
      </c>
      <c r="AB126">
        <v>197</v>
      </c>
      <c r="AC126">
        <v>107.724</v>
      </c>
      <c r="AD126">
        <v>248</v>
      </c>
      <c r="AE126">
        <v>109.517</v>
      </c>
      <c r="AF126">
        <v>168</v>
      </c>
      <c r="AG126">
        <v>0.69740000000000002</v>
      </c>
      <c r="AH126">
        <v>165</v>
      </c>
      <c r="AJ126">
        <v>18.55</v>
      </c>
      <c r="AK126">
        <v>297</v>
      </c>
      <c r="AL126">
        <v>18.350000000000001</v>
      </c>
      <c r="AM126">
        <v>341</v>
      </c>
      <c r="AN126">
        <v>18.48</v>
      </c>
      <c r="AO126">
        <v>9</v>
      </c>
      <c r="AP126">
        <v>18.39</v>
      </c>
      <c r="AQ126">
        <v>11</v>
      </c>
    </row>
    <row r="127" spans="1:43" x14ac:dyDescent="0.2">
      <c r="A127" t="s">
        <v>1782</v>
      </c>
      <c r="B127">
        <v>2026</v>
      </c>
      <c r="C127" t="s">
        <v>621</v>
      </c>
      <c r="D127">
        <v>0</v>
      </c>
      <c r="E127" t="s">
        <v>940</v>
      </c>
      <c r="F127" t="s">
        <v>1908</v>
      </c>
      <c r="G127">
        <v>20</v>
      </c>
      <c r="H127">
        <v>11</v>
      </c>
      <c r="I127">
        <v>3.91</v>
      </c>
      <c r="J127">
        <v>126</v>
      </c>
      <c r="K127">
        <v>0.6028</v>
      </c>
      <c r="L127">
        <v>122</v>
      </c>
      <c r="M127">
        <v>109.768</v>
      </c>
      <c r="N127">
        <v>161</v>
      </c>
      <c r="O127">
        <v>109.42100000000001</v>
      </c>
      <c r="P127">
        <v>151</v>
      </c>
      <c r="Q127">
        <v>105.858</v>
      </c>
      <c r="R127">
        <v>107</v>
      </c>
      <c r="S127">
        <v>103.789</v>
      </c>
      <c r="T127">
        <v>73</v>
      </c>
      <c r="U127">
        <v>70.431700000000006</v>
      </c>
      <c r="V127">
        <v>79</v>
      </c>
      <c r="W127">
        <v>69.037400000000005</v>
      </c>
      <c r="X127">
        <v>90</v>
      </c>
      <c r="Y127">
        <v>1.95E-2</v>
      </c>
      <c r="Z127">
        <v>129</v>
      </c>
      <c r="AA127">
        <v>-0.83</v>
      </c>
      <c r="AB127">
        <v>166</v>
      </c>
      <c r="AC127">
        <v>108.824</v>
      </c>
      <c r="AD127">
        <v>180</v>
      </c>
      <c r="AE127">
        <v>109.654</v>
      </c>
      <c r="AF127">
        <v>172</v>
      </c>
      <c r="AG127">
        <v>-5.4725999999999999</v>
      </c>
      <c r="AH127">
        <v>311</v>
      </c>
      <c r="AJ127">
        <v>16.79</v>
      </c>
      <c r="AK127">
        <v>84</v>
      </c>
      <c r="AL127">
        <v>17.149999999999999</v>
      </c>
      <c r="AM127">
        <v>93</v>
      </c>
      <c r="AN127">
        <v>17.010000000000002</v>
      </c>
      <c r="AO127">
        <v>6</v>
      </c>
      <c r="AP127">
        <v>17.079999999999998</v>
      </c>
      <c r="AQ127">
        <v>2</v>
      </c>
    </row>
    <row r="128" spans="1:43" x14ac:dyDescent="0.2">
      <c r="A128" t="s">
        <v>1782</v>
      </c>
      <c r="B128">
        <v>2026</v>
      </c>
      <c r="C128" t="s">
        <v>667</v>
      </c>
      <c r="D128">
        <v>0</v>
      </c>
      <c r="E128" t="s">
        <v>885</v>
      </c>
      <c r="F128" t="s">
        <v>1909</v>
      </c>
      <c r="G128">
        <v>10</v>
      </c>
      <c r="H128">
        <v>22</v>
      </c>
      <c r="I128">
        <v>3.6012</v>
      </c>
      <c r="J128">
        <v>127</v>
      </c>
      <c r="K128">
        <v>0.59060000000000001</v>
      </c>
      <c r="L128">
        <v>127</v>
      </c>
      <c r="M128">
        <v>114.809</v>
      </c>
      <c r="N128">
        <v>88</v>
      </c>
      <c r="O128">
        <v>108.708</v>
      </c>
      <c r="P128">
        <v>171</v>
      </c>
      <c r="Q128">
        <v>111.20699999999999</v>
      </c>
      <c r="R128">
        <v>213</v>
      </c>
      <c r="S128">
        <v>115.982</v>
      </c>
      <c r="T128">
        <v>336</v>
      </c>
      <c r="U128">
        <v>68.017700000000005</v>
      </c>
      <c r="V128">
        <v>199</v>
      </c>
      <c r="W128">
        <v>65.990200000000002</v>
      </c>
      <c r="X128">
        <v>257</v>
      </c>
      <c r="Y128">
        <v>-1.1900000000000001E-2</v>
      </c>
      <c r="Z128">
        <v>218</v>
      </c>
      <c r="AA128">
        <v>12.052300000000001</v>
      </c>
      <c r="AB128">
        <v>33</v>
      </c>
      <c r="AC128">
        <v>115.755</v>
      </c>
      <c r="AD128">
        <v>45</v>
      </c>
      <c r="AE128">
        <v>103.703</v>
      </c>
      <c r="AF128">
        <v>22</v>
      </c>
      <c r="AG128">
        <v>0.1145</v>
      </c>
      <c r="AH128">
        <v>183</v>
      </c>
      <c r="AJ128">
        <v>18.53</v>
      </c>
      <c r="AK128">
        <v>295</v>
      </c>
      <c r="AL128">
        <v>16.68</v>
      </c>
      <c r="AM128">
        <v>28</v>
      </c>
      <c r="AN128">
        <v>19.22</v>
      </c>
      <c r="AO128">
        <v>15</v>
      </c>
      <c r="AP128">
        <v>16.88</v>
      </c>
      <c r="AQ128">
        <v>3</v>
      </c>
    </row>
    <row r="129" spans="1:43" x14ac:dyDescent="0.2">
      <c r="A129" t="s">
        <v>1782</v>
      </c>
      <c r="B129">
        <v>2026</v>
      </c>
      <c r="C129" t="s">
        <v>153</v>
      </c>
      <c r="D129">
        <v>0</v>
      </c>
      <c r="E129" t="s">
        <v>926</v>
      </c>
      <c r="F129" t="s">
        <v>1910</v>
      </c>
      <c r="G129">
        <v>18</v>
      </c>
      <c r="H129">
        <v>14</v>
      </c>
      <c r="I129">
        <v>3.2429000000000001</v>
      </c>
      <c r="J129">
        <v>128</v>
      </c>
      <c r="K129">
        <v>0.58450000000000002</v>
      </c>
      <c r="L129">
        <v>129</v>
      </c>
      <c r="M129">
        <v>110.919</v>
      </c>
      <c r="N129">
        <v>140</v>
      </c>
      <c r="O129">
        <v>109.346</v>
      </c>
      <c r="P129">
        <v>152</v>
      </c>
      <c r="Q129">
        <v>107.676</v>
      </c>
      <c r="R129">
        <v>138</v>
      </c>
      <c r="S129">
        <v>107.73699999999999</v>
      </c>
      <c r="T129">
        <v>159</v>
      </c>
      <c r="U129">
        <v>69.498900000000006</v>
      </c>
      <c r="V129">
        <v>120</v>
      </c>
      <c r="W129">
        <v>68.782600000000002</v>
      </c>
      <c r="X129">
        <v>105</v>
      </c>
      <c r="Y129">
        <v>-1.1000000000000001E-3</v>
      </c>
      <c r="Z129">
        <v>192</v>
      </c>
      <c r="AA129">
        <v>2.0081000000000002</v>
      </c>
      <c r="AB129">
        <v>111</v>
      </c>
      <c r="AC129">
        <v>110.28700000000001</v>
      </c>
      <c r="AD129">
        <v>115</v>
      </c>
      <c r="AE129">
        <v>108.279</v>
      </c>
      <c r="AF129">
        <v>124</v>
      </c>
      <c r="AG129">
        <v>-6.4394999999999998</v>
      </c>
      <c r="AH129">
        <v>324</v>
      </c>
      <c r="AJ129">
        <v>16.96</v>
      </c>
      <c r="AK129">
        <v>100</v>
      </c>
      <c r="AL129">
        <v>17.600000000000001</v>
      </c>
      <c r="AM129">
        <v>197</v>
      </c>
      <c r="AN129">
        <v>17.57</v>
      </c>
      <c r="AO129">
        <v>5</v>
      </c>
      <c r="AP129">
        <v>17.940000000000001</v>
      </c>
      <c r="AQ129">
        <v>6</v>
      </c>
    </row>
    <row r="130" spans="1:43" x14ac:dyDescent="0.2">
      <c r="A130" t="s">
        <v>1782</v>
      </c>
      <c r="B130">
        <v>2026</v>
      </c>
      <c r="C130" t="s">
        <v>181</v>
      </c>
      <c r="D130">
        <v>0</v>
      </c>
      <c r="E130" t="s">
        <v>940</v>
      </c>
      <c r="F130" t="s">
        <v>1911</v>
      </c>
      <c r="G130">
        <v>18</v>
      </c>
      <c r="H130">
        <v>15</v>
      </c>
      <c r="I130">
        <v>3.2204999999999999</v>
      </c>
      <c r="J130">
        <v>129</v>
      </c>
      <c r="K130">
        <v>0.58489999999999998</v>
      </c>
      <c r="L130">
        <v>128</v>
      </c>
      <c r="M130">
        <v>109.68</v>
      </c>
      <c r="N130">
        <v>164</v>
      </c>
      <c r="O130">
        <v>108.62</v>
      </c>
      <c r="P130">
        <v>173</v>
      </c>
      <c r="Q130">
        <v>106.46</v>
      </c>
      <c r="R130">
        <v>116</v>
      </c>
      <c r="S130">
        <v>106.232</v>
      </c>
      <c r="T130">
        <v>115</v>
      </c>
      <c r="U130">
        <v>70.235600000000005</v>
      </c>
      <c r="V130">
        <v>84</v>
      </c>
      <c r="W130">
        <v>69.646900000000002</v>
      </c>
      <c r="X130">
        <v>64</v>
      </c>
      <c r="Y130">
        <v>-3.39E-2</v>
      </c>
      <c r="Z130">
        <v>283</v>
      </c>
      <c r="AA130">
        <v>1.81</v>
      </c>
      <c r="AB130">
        <v>113</v>
      </c>
      <c r="AC130">
        <v>110.22</v>
      </c>
      <c r="AD130">
        <v>117</v>
      </c>
      <c r="AE130">
        <v>108.41</v>
      </c>
      <c r="AF130">
        <v>128</v>
      </c>
      <c r="AG130">
        <v>2.8389000000000002</v>
      </c>
      <c r="AH130">
        <v>108</v>
      </c>
      <c r="AJ130">
        <v>16.5</v>
      </c>
      <c r="AK130">
        <v>57</v>
      </c>
      <c r="AL130">
        <v>17.5</v>
      </c>
      <c r="AM130">
        <v>173</v>
      </c>
      <c r="AN130">
        <v>16.579999999999998</v>
      </c>
      <c r="AO130">
        <v>3</v>
      </c>
      <c r="AP130">
        <v>17.170000000000002</v>
      </c>
      <c r="AQ130">
        <v>3</v>
      </c>
    </row>
    <row r="131" spans="1:43" x14ac:dyDescent="0.2">
      <c r="A131" t="s">
        <v>1782</v>
      </c>
      <c r="B131">
        <v>2026</v>
      </c>
      <c r="C131" t="s">
        <v>631</v>
      </c>
      <c r="D131">
        <v>0</v>
      </c>
      <c r="E131" t="s">
        <v>1001</v>
      </c>
      <c r="F131" t="s">
        <v>1912</v>
      </c>
      <c r="G131">
        <v>18</v>
      </c>
      <c r="H131">
        <v>14</v>
      </c>
      <c r="I131">
        <v>3.1941999999999999</v>
      </c>
      <c r="J131">
        <v>130</v>
      </c>
      <c r="K131">
        <v>0.58099999999999996</v>
      </c>
      <c r="L131">
        <v>131</v>
      </c>
      <c r="M131">
        <v>113.931</v>
      </c>
      <c r="N131">
        <v>99</v>
      </c>
      <c r="O131">
        <v>112.717</v>
      </c>
      <c r="P131">
        <v>94</v>
      </c>
      <c r="Q131">
        <v>110.736</v>
      </c>
      <c r="R131">
        <v>206</v>
      </c>
      <c r="S131">
        <v>108.13200000000001</v>
      </c>
      <c r="T131">
        <v>169</v>
      </c>
      <c r="U131">
        <v>67.077399999999997</v>
      </c>
      <c r="V131">
        <v>244</v>
      </c>
      <c r="W131">
        <v>64.372799999999998</v>
      </c>
      <c r="X131">
        <v>330</v>
      </c>
      <c r="Y131">
        <v>-6.7400000000000002E-2</v>
      </c>
      <c r="Z131">
        <v>332</v>
      </c>
      <c r="AA131">
        <v>-1.0273000000000001</v>
      </c>
      <c r="AB131">
        <v>176</v>
      </c>
      <c r="AC131">
        <v>107.492</v>
      </c>
      <c r="AD131">
        <v>258</v>
      </c>
      <c r="AE131">
        <v>108.52</v>
      </c>
      <c r="AF131">
        <v>135</v>
      </c>
      <c r="AG131">
        <v>-0.40260000000000001</v>
      </c>
      <c r="AH131">
        <v>194</v>
      </c>
      <c r="AJ131">
        <v>18.72</v>
      </c>
      <c r="AK131">
        <v>309</v>
      </c>
      <c r="AL131">
        <v>16.920000000000002</v>
      </c>
      <c r="AM131">
        <v>54</v>
      </c>
      <c r="AN131">
        <v>19.09</v>
      </c>
      <c r="AO131">
        <v>11</v>
      </c>
      <c r="AP131">
        <v>16.29</v>
      </c>
      <c r="AQ131">
        <v>3</v>
      </c>
    </row>
    <row r="132" spans="1:43" x14ac:dyDescent="0.2">
      <c r="A132" t="s">
        <v>1782</v>
      </c>
      <c r="B132">
        <v>2026</v>
      </c>
      <c r="C132" t="s">
        <v>191</v>
      </c>
      <c r="D132">
        <v>0</v>
      </c>
      <c r="E132" t="s">
        <v>918</v>
      </c>
      <c r="F132" t="s">
        <v>1913</v>
      </c>
      <c r="G132">
        <v>13</v>
      </c>
      <c r="H132">
        <v>19</v>
      </c>
      <c r="I132">
        <v>3.1263000000000001</v>
      </c>
      <c r="J132">
        <v>131</v>
      </c>
      <c r="K132">
        <v>0.58399999999999996</v>
      </c>
      <c r="L132">
        <v>130</v>
      </c>
      <c r="M132">
        <v>107.542</v>
      </c>
      <c r="N132">
        <v>205</v>
      </c>
      <c r="O132">
        <v>104.423</v>
      </c>
      <c r="P132">
        <v>265</v>
      </c>
      <c r="Q132">
        <v>104.41500000000001</v>
      </c>
      <c r="R132">
        <v>84</v>
      </c>
      <c r="S132">
        <v>106.095</v>
      </c>
      <c r="T132">
        <v>110</v>
      </c>
      <c r="U132">
        <v>69.352400000000003</v>
      </c>
      <c r="V132">
        <v>128</v>
      </c>
      <c r="W132">
        <v>68.195099999999996</v>
      </c>
      <c r="X132">
        <v>132</v>
      </c>
      <c r="Y132">
        <v>-7.8100000000000003E-2</v>
      </c>
      <c r="Z132">
        <v>342</v>
      </c>
      <c r="AA132">
        <v>4.8064</v>
      </c>
      <c r="AB132">
        <v>95</v>
      </c>
      <c r="AC132">
        <v>112.49</v>
      </c>
      <c r="AD132">
        <v>85</v>
      </c>
      <c r="AE132">
        <v>107.684</v>
      </c>
      <c r="AF132">
        <v>109</v>
      </c>
      <c r="AG132">
        <v>-2.9826000000000001</v>
      </c>
      <c r="AH132">
        <v>264</v>
      </c>
      <c r="AJ132">
        <v>17.28</v>
      </c>
      <c r="AK132">
        <v>149</v>
      </c>
      <c r="AL132">
        <v>17.18</v>
      </c>
      <c r="AM132">
        <v>98</v>
      </c>
      <c r="AN132">
        <v>17.29</v>
      </c>
      <c r="AO132">
        <v>5</v>
      </c>
      <c r="AP132">
        <v>17.48</v>
      </c>
      <c r="AQ132">
        <v>3</v>
      </c>
    </row>
    <row r="133" spans="1:43" x14ac:dyDescent="0.2">
      <c r="A133" t="s">
        <v>1782</v>
      </c>
      <c r="B133">
        <v>2026</v>
      </c>
      <c r="C133" t="s">
        <v>371</v>
      </c>
      <c r="D133">
        <v>0</v>
      </c>
      <c r="E133" t="s">
        <v>1031</v>
      </c>
      <c r="F133" t="s">
        <v>1914</v>
      </c>
      <c r="G133">
        <v>18</v>
      </c>
      <c r="H133">
        <v>14</v>
      </c>
      <c r="I133">
        <v>3.0152000000000001</v>
      </c>
      <c r="J133">
        <v>132</v>
      </c>
      <c r="K133">
        <v>0.57840000000000003</v>
      </c>
      <c r="L133">
        <v>132</v>
      </c>
      <c r="M133">
        <v>111.114</v>
      </c>
      <c r="N133">
        <v>136</v>
      </c>
      <c r="O133">
        <v>111.381</v>
      </c>
      <c r="P133">
        <v>112</v>
      </c>
      <c r="Q133">
        <v>108.098</v>
      </c>
      <c r="R133">
        <v>144</v>
      </c>
      <c r="S133">
        <v>108.133</v>
      </c>
      <c r="T133">
        <v>170</v>
      </c>
      <c r="U133">
        <v>67.358400000000003</v>
      </c>
      <c r="V133">
        <v>229</v>
      </c>
      <c r="W133">
        <v>65.887600000000006</v>
      </c>
      <c r="X133">
        <v>264</v>
      </c>
      <c r="Y133">
        <v>-8.2699999999999996E-2</v>
      </c>
      <c r="Z133">
        <v>344</v>
      </c>
      <c r="AA133">
        <v>3.0700000000000002E-2</v>
      </c>
      <c r="AB133">
        <v>149</v>
      </c>
      <c r="AC133">
        <v>110.664</v>
      </c>
      <c r="AD133">
        <v>105</v>
      </c>
      <c r="AE133">
        <v>110.633</v>
      </c>
      <c r="AF133">
        <v>208</v>
      </c>
      <c r="AG133">
        <v>6.3101000000000003</v>
      </c>
      <c r="AH133">
        <v>48</v>
      </c>
      <c r="AJ133">
        <v>18.41</v>
      </c>
      <c r="AK133">
        <v>279</v>
      </c>
      <c r="AL133">
        <v>17.38</v>
      </c>
      <c r="AM133">
        <v>142</v>
      </c>
      <c r="AN133">
        <v>18.41</v>
      </c>
      <c r="AO133">
        <v>8</v>
      </c>
      <c r="AP133">
        <v>17.62</v>
      </c>
      <c r="AQ133">
        <v>7</v>
      </c>
    </row>
    <row r="134" spans="1:43" x14ac:dyDescent="0.2">
      <c r="A134" t="s">
        <v>1782</v>
      </c>
      <c r="B134">
        <v>2026</v>
      </c>
      <c r="C134" t="s">
        <v>611</v>
      </c>
      <c r="D134">
        <v>0</v>
      </c>
      <c r="E134" t="s">
        <v>953</v>
      </c>
      <c r="F134" t="s">
        <v>1915</v>
      </c>
      <c r="G134">
        <v>18</v>
      </c>
      <c r="H134">
        <v>14</v>
      </c>
      <c r="I134">
        <v>2.6356000000000002</v>
      </c>
      <c r="J134">
        <v>133</v>
      </c>
      <c r="K134">
        <v>0.56630000000000003</v>
      </c>
      <c r="L134">
        <v>134</v>
      </c>
      <c r="M134">
        <v>114.964</v>
      </c>
      <c r="N134">
        <v>86</v>
      </c>
      <c r="O134">
        <v>115.19799999999999</v>
      </c>
      <c r="P134">
        <v>61</v>
      </c>
      <c r="Q134">
        <v>112.328</v>
      </c>
      <c r="R134">
        <v>239</v>
      </c>
      <c r="S134">
        <v>111.84699999999999</v>
      </c>
      <c r="T134">
        <v>267</v>
      </c>
      <c r="U134">
        <v>69.453800000000001</v>
      </c>
      <c r="V134">
        <v>122</v>
      </c>
      <c r="W134">
        <v>67.900700000000001</v>
      </c>
      <c r="X134">
        <v>146</v>
      </c>
      <c r="Y134">
        <v>-4.8599999999999997E-2</v>
      </c>
      <c r="Z134">
        <v>304</v>
      </c>
      <c r="AA134">
        <v>-1.2529999999999999</v>
      </c>
      <c r="AB134">
        <v>180</v>
      </c>
      <c r="AC134">
        <v>109.535</v>
      </c>
      <c r="AD134">
        <v>148</v>
      </c>
      <c r="AE134">
        <v>110.788</v>
      </c>
      <c r="AF134">
        <v>213</v>
      </c>
      <c r="AG134">
        <v>2.0783</v>
      </c>
      <c r="AH134">
        <v>123</v>
      </c>
      <c r="AJ134">
        <v>16.53</v>
      </c>
      <c r="AK134">
        <v>60</v>
      </c>
      <c r="AL134">
        <v>17.920000000000002</v>
      </c>
      <c r="AM134">
        <v>273</v>
      </c>
      <c r="AN134">
        <v>16.53</v>
      </c>
      <c r="AO134">
        <v>3</v>
      </c>
      <c r="AP134">
        <v>18.309999999999999</v>
      </c>
      <c r="AQ134">
        <v>13</v>
      </c>
    </row>
    <row r="135" spans="1:43" x14ac:dyDescent="0.2">
      <c r="A135" t="s">
        <v>1782</v>
      </c>
      <c r="B135">
        <v>2026</v>
      </c>
      <c r="C135" t="s">
        <v>489</v>
      </c>
      <c r="D135">
        <v>0</v>
      </c>
      <c r="E135" t="s">
        <v>926</v>
      </c>
      <c r="F135" t="s">
        <v>1916</v>
      </c>
      <c r="G135">
        <v>16</v>
      </c>
      <c r="H135">
        <v>16</v>
      </c>
      <c r="I135">
        <v>2.4845000000000002</v>
      </c>
      <c r="J135">
        <v>134</v>
      </c>
      <c r="K135">
        <v>0.56779999999999997</v>
      </c>
      <c r="L135">
        <v>133</v>
      </c>
      <c r="M135">
        <v>105.983</v>
      </c>
      <c r="N135">
        <v>233</v>
      </c>
      <c r="O135">
        <v>104.863</v>
      </c>
      <c r="P135">
        <v>254</v>
      </c>
      <c r="Q135">
        <v>103.499</v>
      </c>
      <c r="R135">
        <v>66</v>
      </c>
      <c r="S135">
        <v>102.452</v>
      </c>
      <c r="T135">
        <v>53</v>
      </c>
      <c r="U135">
        <v>66.030799999999999</v>
      </c>
      <c r="V135">
        <v>297</v>
      </c>
      <c r="W135">
        <v>65.697100000000006</v>
      </c>
      <c r="X135">
        <v>272</v>
      </c>
      <c r="Y135">
        <v>-4.7600000000000003E-2</v>
      </c>
      <c r="Z135">
        <v>302</v>
      </c>
      <c r="AA135">
        <v>0.73970000000000002</v>
      </c>
      <c r="AB135">
        <v>132</v>
      </c>
      <c r="AC135">
        <v>109.598</v>
      </c>
      <c r="AD135">
        <v>144</v>
      </c>
      <c r="AE135">
        <v>108.858</v>
      </c>
      <c r="AF135">
        <v>146</v>
      </c>
      <c r="AG135">
        <v>-5.4470999999999998</v>
      </c>
      <c r="AH135">
        <v>309</v>
      </c>
      <c r="AJ135">
        <v>17.73</v>
      </c>
      <c r="AK135">
        <v>202</v>
      </c>
      <c r="AL135">
        <v>18.36</v>
      </c>
      <c r="AM135">
        <v>342</v>
      </c>
      <c r="AN135">
        <v>17.899999999999999</v>
      </c>
      <c r="AO135">
        <v>7</v>
      </c>
      <c r="AP135">
        <v>18.41</v>
      </c>
      <c r="AQ135">
        <v>11</v>
      </c>
    </row>
    <row r="136" spans="1:43" x14ac:dyDescent="0.2">
      <c r="A136" t="s">
        <v>1782</v>
      </c>
      <c r="B136">
        <v>2026</v>
      </c>
      <c r="C136" t="s">
        <v>693</v>
      </c>
      <c r="D136">
        <v>0</v>
      </c>
      <c r="E136" t="s">
        <v>896</v>
      </c>
      <c r="F136" t="s">
        <v>1917</v>
      </c>
      <c r="G136">
        <v>12</v>
      </c>
      <c r="H136">
        <v>20</v>
      </c>
      <c r="I136">
        <v>2.3921999999999999</v>
      </c>
      <c r="J136">
        <v>135</v>
      </c>
      <c r="K136">
        <v>0.56059999999999999</v>
      </c>
      <c r="L136">
        <v>137</v>
      </c>
      <c r="M136">
        <v>114.146</v>
      </c>
      <c r="N136">
        <v>96</v>
      </c>
      <c r="O136">
        <v>109.634</v>
      </c>
      <c r="P136">
        <v>147</v>
      </c>
      <c r="Q136">
        <v>111.754</v>
      </c>
      <c r="R136">
        <v>224</v>
      </c>
      <c r="S136">
        <v>112.193</v>
      </c>
      <c r="T136">
        <v>273</v>
      </c>
      <c r="U136">
        <v>68.933499999999995</v>
      </c>
      <c r="V136">
        <v>155</v>
      </c>
      <c r="W136">
        <v>67.846500000000006</v>
      </c>
      <c r="X136">
        <v>149</v>
      </c>
      <c r="Y136">
        <v>-9.4E-2</v>
      </c>
      <c r="Z136">
        <v>354</v>
      </c>
      <c r="AA136">
        <v>5.1055000000000001</v>
      </c>
      <c r="AB136">
        <v>91</v>
      </c>
      <c r="AC136">
        <v>111.14700000000001</v>
      </c>
      <c r="AD136">
        <v>100</v>
      </c>
      <c r="AE136">
        <v>106.042</v>
      </c>
      <c r="AF136">
        <v>78</v>
      </c>
      <c r="AG136">
        <v>5.0850999999999997</v>
      </c>
      <c r="AH136">
        <v>71</v>
      </c>
      <c r="AJ136">
        <v>16.87</v>
      </c>
      <c r="AK136">
        <v>90</v>
      </c>
      <c r="AL136">
        <v>18.05</v>
      </c>
      <c r="AM136">
        <v>298</v>
      </c>
      <c r="AN136">
        <v>17.07</v>
      </c>
      <c r="AO136">
        <v>3</v>
      </c>
      <c r="AP136">
        <v>17.989999999999998</v>
      </c>
      <c r="AQ136">
        <v>11</v>
      </c>
    </row>
    <row r="137" spans="1:43" x14ac:dyDescent="0.2">
      <c r="A137" t="s">
        <v>1782</v>
      </c>
      <c r="B137">
        <v>2026</v>
      </c>
      <c r="C137" t="s">
        <v>337</v>
      </c>
      <c r="D137">
        <v>0</v>
      </c>
      <c r="E137" t="s">
        <v>940</v>
      </c>
      <c r="F137" t="s">
        <v>1918</v>
      </c>
      <c r="G137">
        <v>13</v>
      </c>
      <c r="H137">
        <v>19</v>
      </c>
      <c r="I137">
        <v>2.3513000000000002</v>
      </c>
      <c r="J137">
        <v>136</v>
      </c>
      <c r="K137">
        <v>0.56340000000000001</v>
      </c>
      <c r="L137">
        <v>136</v>
      </c>
      <c r="M137">
        <v>107.19499999999999</v>
      </c>
      <c r="N137">
        <v>211</v>
      </c>
      <c r="O137">
        <v>104.48099999999999</v>
      </c>
      <c r="P137">
        <v>263</v>
      </c>
      <c r="Q137">
        <v>104.84399999999999</v>
      </c>
      <c r="R137">
        <v>89</v>
      </c>
      <c r="S137">
        <v>106.54300000000001</v>
      </c>
      <c r="T137">
        <v>125</v>
      </c>
      <c r="U137">
        <v>71.406300000000002</v>
      </c>
      <c r="V137">
        <v>40</v>
      </c>
      <c r="W137">
        <v>70.199700000000007</v>
      </c>
      <c r="X137">
        <v>40</v>
      </c>
      <c r="Y137">
        <v>-5.2900000000000003E-2</v>
      </c>
      <c r="Z137">
        <v>314</v>
      </c>
      <c r="AA137">
        <v>5.2774999999999999</v>
      </c>
      <c r="AB137">
        <v>88</v>
      </c>
      <c r="AC137">
        <v>112.36</v>
      </c>
      <c r="AD137">
        <v>87</v>
      </c>
      <c r="AE137">
        <v>107.08199999999999</v>
      </c>
      <c r="AF137">
        <v>95</v>
      </c>
      <c r="AG137">
        <v>10.5357</v>
      </c>
      <c r="AH137">
        <v>17</v>
      </c>
      <c r="AJ137">
        <v>16.39</v>
      </c>
      <c r="AK137">
        <v>51</v>
      </c>
      <c r="AL137">
        <v>17.329999999999998</v>
      </c>
      <c r="AM137">
        <v>135</v>
      </c>
      <c r="AN137">
        <v>16</v>
      </c>
      <c r="AO137">
        <v>1</v>
      </c>
      <c r="AP137">
        <v>17.72</v>
      </c>
      <c r="AQ137">
        <v>10</v>
      </c>
    </row>
    <row r="138" spans="1:43" x14ac:dyDescent="0.2">
      <c r="A138" t="s">
        <v>1782</v>
      </c>
      <c r="B138">
        <v>2026</v>
      </c>
      <c r="C138" t="s">
        <v>417</v>
      </c>
      <c r="D138">
        <v>0</v>
      </c>
      <c r="E138" t="s">
        <v>940</v>
      </c>
      <c r="F138" t="s">
        <v>1919</v>
      </c>
      <c r="G138">
        <v>19</v>
      </c>
      <c r="H138">
        <v>13</v>
      </c>
      <c r="I138">
        <v>2.2906</v>
      </c>
      <c r="J138">
        <v>137</v>
      </c>
      <c r="K138">
        <v>0.56369999999999998</v>
      </c>
      <c r="L138">
        <v>135</v>
      </c>
      <c r="M138">
        <v>103.928</v>
      </c>
      <c r="N138">
        <v>275</v>
      </c>
      <c r="O138">
        <v>102.914</v>
      </c>
      <c r="P138">
        <v>290</v>
      </c>
      <c r="Q138">
        <v>101.637</v>
      </c>
      <c r="R138">
        <v>42</v>
      </c>
      <c r="S138">
        <v>100.996</v>
      </c>
      <c r="T138">
        <v>38</v>
      </c>
      <c r="U138">
        <v>66.040599999999998</v>
      </c>
      <c r="V138">
        <v>296</v>
      </c>
      <c r="W138">
        <v>64.999899999999997</v>
      </c>
      <c r="X138">
        <v>308</v>
      </c>
      <c r="Y138">
        <v>2.2499999999999999E-2</v>
      </c>
      <c r="Z138">
        <v>127</v>
      </c>
      <c r="AA138">
        <v>0.48120000000000002</v>
      </c>
      <c r="AB138">
        <v>139</v>
      </c>
      <c r="AC138">
        <v>109.849</v>
      </c>
      <c r="AD138">
        <v>128</v>
      </c>
      <c r="AE138">
        <v>109.36799999999999</v>
      </c>
      <c r="AF138">
        <v>163</v>
      </c>
      <c r="AG138">
        <v>-2.3599999999999999E-2</v>
      </c>
      <c r="AH138">
        <v>187</v>
      </c>
      <c r="AJ138">
        <v>18.62</v>
      </c>
      <c r="AK138">
        <v>303</v>
      </c>
      <c r="AL138">
        <v>17.62</v>
      </c>
      <c r="AM138">
        <v>205</v>
      </c>
      <c r="AN138">
        <v>18.64</v>
      </c>
      <c r="AO138">
        <v>10</v>
      </c>
      <c r="AP138">
        <v>17.510000000000002</v>
      </c>
      <c r="AQ138">
        <v>6</v>
      </c>
    </row>
    <row r="139" spans="1:43" x14ac:dyDescent="0.2">
      <c r="A139" t="s">
        <v>1782</v>
      </c>
      <c r="B139">
        <v>2026</v>
      </c>
      <c r="C139" t="s">
        <v>461</v>
      </c>
      <c r="D139">
        <v>0</v>
      </c>
      <c r="E139" t="s">
        <v>883</v>
      </c>
      <c r="F139" t="s">
        <v>1920</v>
      </c>
      <c r="G139">
        <v>12</v>
      </c>
      <c r="H139">
        <v>20</v>
      </c>
      <c r="I139">
        <v>2.1717</v>
      </c>
      <c r="J139">
        <v>138</v>
      </c>
      <c r="K139">
        <v>0.55500000000000005</v>
      </c>
      <c r="L139">
        <v>138</v>
      </c>
      <c r="M139">
        <v>114.14100000000001</v>
      </c>
      <c r="N139">
        <v>97</v>
      </c>
      <c r="O139">
        <v>109.483</v>
      </c>
      <c r="P139">
        <v>149</v>
      </c>
      <c r="Q139">
        <v>111.96899999999999</v>
      </c>
      <c r="R139">
        <v>229</v>
      </c>
      <c r="S139">
        <v>117.702</v>
      </c>
      <c r="T139">
        <v>346</v>
      </c>
      <c r="U139">
        <v>67.463700000000003</v>
      </c>
      <c r="V139">
        <v>223</v>
      </c>
      <c r="W139">
        <v>67.429299999999998</v>
      </c>
      <c r="X139">
        <v>178</v>
      </c>
      <c r="Y139">
        <v>-1.2200000000000001E-2</v>
      </c>
      <c r="Z139">
        <v>219</v>
      </c>
      <c r="AA139">
        <v>10.672499999999999</v>
      </c>
      <c r="AB139">
        <v>63</v>
      </c>
      <c r="AC139">
        <v>115.89700000000001</v>
      </c>
      <c r="AD139">
        <v>41</v>
      </c>
      <c r="AE139">
        <v>105.224</v>
      </c>
      <c r="AF139">
        <v>65</v>
      </c>
      <c r="AG139">
        <v>-7.3285</v>
      </c>
      <c r="AH139">
        <v>338</v>
      </c>
      <c r="AJ139">
        <v>17.190000000000001</v>
      </c>
      <c r="AK139">
        <v>131</v>
      </c>
      <c r="AL139">
        <v>18.420000000000002</v>
      </c>
      <c r="AM139">
        <v>345</v>
      </c>
      <c r="AN139">
        <v>17.600000000000001</v>
      </c>
      <c r="AO139">
        <v>4</v>
      </c>
      <c r="AP139">
        <v>18.04</v>
      </c>
      <c r="AQ139">
        <v>5</v>
      </c>
    </row>
    <row r="140" spans="1:43" x14ac:dyDescent="0.2">
      <c r="A140" t="s">
        <v>1782</v>
      </c>
      <c r="B140">
        <v>2026</v>
      </c>
      <c r="C140" t="s">
        <v>565</v>
      </c>
      <c r="D140">
        <v>0</v>
      </c>
      <c r="E140" t="s">
        <v>926</v>
      </c>
      <c r="F140" t="s">
        <v>1921</v>
      </c>
      <c r="G140">
        <v>17</v>
      </c>
      <c r="H140">
        <v>16</v>
      </c>
      <c r="I140">
        <v>2.0926999999999998</v>
      </c>
      <c r="J140">
        <v>139</v>
      </c>
      <c r="K140">
        <v>0.55300000000000005</v>
      </c>
      <c r="L140">
        <v>139</v>
      </c>
      <c r="M140">
        <v>114.18</v>
      </c>
      <c r="N140">
        <v>94</v>
      </c>
      <c r="O140">
        <v>112.39400000000001</v>
      </c>
      <c r="P140">
        <v>99</v>
      </c>
      <c r="Q140">
        <v>112.08799999999999</v>
      </c>
      <c r="R140">
        <v>233</v>
      </c>
      <c r="S140">
        <v>110.93600000000001</v>
      </c>
      <c r="T140">
        <v>240</v>
      </c>
      <c r="U140">
        <v>67.561300000000003</v>
      </c>
      <c r="V140">
        <v>221</v>
      </c>
      <c r="W140">
        <v>67.305199999999999</v>
      </c>
      <c r="X140">
        <v>182</v>
      </c>
      <c r="Y140">
        <v>-3.49E-2</v>
      </c>
      <c r="Z140">
        <v>284</v>
      </c>
      <c r="AA140">
        <v>1.0348999999999999</v>
      </c>
      <c r="AB140">
        <v>126</v>
      </c>
      <c r="AC140">
        <v>109.22799999999999</v>
      </c>
      <c r="AD140">
        <v>157</v>
      </c>
      <c r="AE140">
        <v>108.193</v>
      </c>
      <c r="AF140">
        <v>121</v>
      </c>
      <c r="AG140">
        <v>-4.4444999999999997</v>
      </c>
      <c r="AH140">
        <v>293</v>
      </c>
      <c r="AJ140">
        <v>17.27</v>
      </c>
      <c r="AK140">
        <v>146</v>
      </c>
      <c r="AL140">
        <v>18.14</v>
      </c>
      <c r="AM140">
        <v>308</v>
      </c>
      <c r="AN140">
        <v>17.28</v>
      </c>
      <c r="AO140">
        <v>4</v>
      </c>
      <c r="AP140">
        <v>18.13</v>
      </c>
      <c r="AQ140">
        <v>8</v>
      </c>
    </row>
    <row r="141" spans="1:43" x14ac:dyDescent="0.2">
      <c r="A141" t="s">
        <v>1782</v>
      </c>
      <c r="B141">
        <v>2026</v>
      </c>
      <c r="C141" t="s">
        <v>719</v>
      </c>
      <c r="D141">
        <v>0</v>
      </c>
      <c r="E141" t="s">
        <v>1040</v>
      </c>
      <c r="F141" t="s">
        <v>1922</v>
      </c>
      <c r="G141">
        <v>23</v>
      </c>
      <c r="H141">
        <v>11</v>
      </c>
      <c r="I141">
        <v>2.0133000000000001</v>
      </c>
      <c r="J141">
        <v>140</v>
      </c>
      <c r="K141">
        <v>0.55189999999999995</v>
      </c>
      <c r="L141">
        <v>140</v>
      </c>
      <c r="M141">
        <v>112.184</v>
      </c>
      <c r="N141">
        <v>118</v>
      </c>
      <c r="O141">
        <v>115.48099999999999</v>
      </c>
      <c r="P141">
        <v>57</v>
      </c>
      <c r="Q141">
        <v>110.17100000000001</v>
      </c>
      <c r="R141">
        <v>193</v>
      </c>
      <c r="S141">
        <v>108.877</v>
      </c>
      <c r="T141">
        <v>191</v>
      </c>
      <c r="U141">
        <v>69.019099999999995</v>
      </c>
      <c r="V141">
        <v>150</v>
      </c>
      <c r="W141">
        <v>67.191199999999995</v>
      </c>
      <c r="X141">
        <v>191</v>
      </c>
      <c r="Y141">
        <v>8.8000000000000005E-3</v>
      </c>
      <c r="Z141">
        <v>164</v>
      </c>
      <c r="AA141">
        <v>-4.0951000000000004</v>
      </c>
      <c r="AB141">
        <v>250</v>
      </c>
      <c r="AC141">
        <v>109.544</v>
      </c>
      <c r="AD141">
        <v>146</v>
      </c>
      <c r="AE141">
        <v>113.639</v>
      </c>
      <c r="AF141">
        <v>341</v>
      </c>
      <c r="AG141">
        <v>0.74670000000000003</v>
      </c>
      <c r="AH141">
        <v>161</v>
      </c>
      <c r="AJ141">
        <v>17.940000000000001</v>
      </c>
      <c r="AK141">
        <v>230</v>
      </c>
      <c r="AL141">
        <v>16.920000000000002</v>
      </c>
      <c r="AM141">
        <v>53</v>
      </c>
      <c r="AN141">
        <v>17.899999999999999</v>
      </c>
      <c r="AO141">
        <v>8</v>
      </c>
      <c r="AP141">
        <v>17.11</v>
      </c>
      <c r="AQ141">
        <v>3</v>
      </c>
    </row>
    <row r="142" spans="1:43" x14ac:dyDescent="0.2">
      <c r="A142" t="s">
        <v>1782</v>
      </c>
      <c r="B142">
        <v>2026</v>
      </c>
      <c r="C142" t="s">
        <v>423</v>
      </c>
      <c r="D142">
        <v>0</v>
      </c>
      <c r="E142" t="s">
        <v>1031</v>
      </c>
      <c r="F142" t="s">
        <v>1923</v>
      </c>
      <c r="G142">
        <v>20</v>
      </c>
      <c r="H142">
        <v>12</v>
      </c>
      <c r="I142">
        <v>1.9216</v>
      </c>
      <c r="J142">
        <v>141</v>
      </c>
      <c r="K142">
        <v>0.5494</v>
      </c>
      <c r="L142">
        <v>141</v>
      </c>
      <c r="M142">
        <v>112.434</v>
      </c>
      <c r="N142">
        <v>115</v>
      </c>
      <c r="O142">
        <v>113.566</v>
      </c>
      <c r="P142">
        <v>82</v>
      </c>
      <c r="Q142">
        <v>110.512</v>
      </c>
      <c r="R142">
        <v>199</v>
      </c>
      <c r="S142">
        <v>109.645</v>
      </c>
      <c r="T142">
        <v>211</v>
      </c>
      <c r="U142">
        <v>70.024000000000001</v>
      </c>
      <c r="V142">
        <v>93</v>
      </c>
      <c r="W142">
        <v>68.709400000000002</v>
      </c>
      <c r="X142">
        <v>109</v>
      </c>
      <c r="Y142">
        <v>-2.3900000000000001E-2</v>
      </c>
      <c r="Z142">
        <v>251</v>
      </c>
      <c r="AA142">
        <v>-2.0537999999999998</v>
      </c>
      <c r="AB142">
        <v>205</v>
      </c>
      <c r="AC142">
        <v>109.24</v>
      </c>
      <c r="AD142">
        <v>156</v>
      </c>
      <c r="AE142">
        <v>111.294</v>
      </c>
      <c r="AF142">
        <v>233</v>
      </c>
      <c r="AG142">
        <v>-0.1484</v>
      </c>
      <c r="AH142">
        <v>193</v>
      </c>
      <c r="AJ142">
        <v>16.89</v>
      </c>
      <c r="AK142">
        <v>93</v>
      </c>
      <c r="AL142">
        <v>17.45</v>
      </c>
      <c r="AM142">
        <v>160</v>
      </c>
      <c r="AN142">
        <v>16.75</v>
      </c>
      <c r="AO142">
        <v>2</v>
      </c>
      <c r="AP142">
        <v>17.78</v>
      </c>
      <c r="AQ142">
        <v>8</v>
      </c>
    </row>
    <row r="143" spans="1:43" x14ac:dyDescent="0.2">
      <c r="A143" t="s">
        <v>1782</v>
      </c>
      <c r="B143">
        <v>2026</v>
      </c>
      <c r="C143" t="s">
        <v>383</v>
      </c>
      <c r="D143">
        <v>0</v>
      </c>
      <c r="E143" t="s">
        <v>1043</v>
      </c>
      <c r="F143" t="s">
        <v>1924</v>
      </c>
      <c r="G143">
        <v>26</v>
      </c>
      <c r="H143">
        <v>7</v>
      </c>
      <c r="I143">
        <v>1.8334999999999999</v>
      </c>
      <c r="J143">
        <v>142</v>
      </c>
      <c r="K143">
        <v>0.54930000000000001</v>
      </c>
      <c r="L143">
        <v>142</v>
      </c>
      <c r="M143">
        <v>107.557</v>
      </c>
      <c r="N143">
        <v>204</v>
      </c>
      <c r="O143">
        <v>112.578</v>
      </c>
      <c r="P143">
        <v>97</v>
      </c>
      <c r="Q143">
        <v>105.723</v>
      </c>
      <c r="R143">
        <v>103</v>
      </c>
      <c r="S143">
        <v>98.4893</v>
      </c>
      <c r="T143">
        <v>19</v>
      </c>
      <c r="U143">
        <v>65.190399999999997</v>
      </c>
      <c r="V143">
        <v>327</v>
      </c>
      <c r="W143">
        <v>65.108699999999999</v>
      </c>
      <c r="X143">
        <v>303</v>
      </c>
      <c r="Y143">
        <v>5.2699999999999997E-2</v>
      </c>
      <c r="Z143">
        <v>57</v>
      </c>
      <c r="AA143">
        <v>-12.151199999999999</v>
      </c>
      <c r="AB143">
        <v>361</v>
      </c>
      <c r="AC143">
        <v>103.288</v>
      </c>
      <c r="AD143">
        <v>346</v>
      </c>
      <c r="AE143">
        <v>115.43899999999999</v>
      </c>
      <c r="AF143">
        <v>363</v>
      </c>
      <c r="AG143">
        <v>-9.5495000000000001</v>
      </c>
      <c r="AH143">
        <v>359</v>
      </c>
      <c r="AJ143">
        <v>18.46</v>
      </c>
      <c r="AK143">
        <v>286</v>
      </c>
      <c r="AL143">
        <v>18.13</v>
      </c>
      <c r="AM143">
        <v>307</v>
      </c>
      <c r="AN143">
        <v>18.87</v>
      </c>
      <c r="AO143">
        <v>9</v>
      </c>
      <c r="AP143">
        <v>18.39</v>
      </c>
      <c r="AQ143">
        <v>9</v>
      </c>
    </row>
    <row r="144" spans="1:43" x14ac:dyDescent="0.2">
      <c r="A144" t="s">
        <v>1782</v>
      </c>
      <c r="B144">
        <v>2026</v>
      </c>
      <c r="C144" t="s">
        <v>615</v>
      </c>
      <c r="D144">
        <v>0</v>
      </c>
      <c r="E144" t="s">
        <v>1045</v>
      </c>
      <c r="F144" t="s">
        <v>1925</v>
      </c>
      <c r="G144">
        <v>22</v>
      </c>
      <c r="H144">
        <v>11</v>
      </c>
      <c r="I144">
        <v>1.746</v>
      </c>
      <c r="J144">
        <v>143</v>
      </c>
      <c r="K144">
        <v>0.54549999999999998</v>
      </c>
      <c r="L144">
        <v>143</v>
      </c>
      <c r="M144">
        <v>110.854</v>
      </c>
      <c r="N144">
        <v>143</v>
      </c>
      <c r="O144">
        <v>112.19799999999999</v>
      </c>
      <c r="P144">
        <v>104</v>
      </c>
      <c r="Q144">
        <v>109.108</v>
      </c>
      <c r="R144">
        <v>166</v>
      </c>
      <c r="S144">
        <v>106.434</v>
      </c>
      <c r="T144">
        <v>122</v>
      </c>
      <c r="U144">
        <v>67.026499999999999</v>
      </c>
      <c r="V144">
        <v>246</v>
      </c>
      <c r="W144">
        <v>64.884500000000003</v>
      </c>
      <c r="X144">
        <v>310</v>
      </c>
      <c r="Y144">
        <v>2.4E-2</v>
      </c>
      <c r="Z144">
        <v>125</v>
      </c>
      <c r="AA144">
        <v>-3.2374000000000001</v>
      </c>
      <c r="AB144">
        <v>226</v>
      </c>
      <c r="AC144">
        <v>107.729</v>
      </c>
      <c r="AD144">
        <v>247</v>
      </c>
      <c r="AE144">
        <v>110.967</v>
      </c>
      <c r="AF144">
        <v>220</v>
      </c>
      <c r="AG144">
        <v>4.2323000000000004</v>
      </c>
      <c r="AH144">
        <v>84</v>
      </c>
      <c r="AJ144">
        <v>18.03</v>
      </c>
      <c r="AK144">
        <v>241</v>
      </c>
      <c r="AL144">
        <v>17.600000000000001</v>
      </c>
      <c r="AM144">
        <v>194</v>
      </c>
      <c r="AN144">
        <v>18.54</v>
      </c>
      <c r="AO144">
        <v>11</v>
      </c>
      <c r="AP144">
        <v>18.23</v>
      </c>
      <c r="AQ144">
        <v>11</v>
      </c>
    </row>
    <row r="145" spans="1:43" x14ac:dyDescent="0.2">
      <c r="A145" t="s">
        <v>1782</v>
      </c>
      <c r="B145">
        <v>2026</v>
      </c>
      <c r="C145" t="s">
        <v>497</v>
      </c>
      <c r="D145">
        <v>0</v>
      </c>
      <c r="E145" t="s">
        <v>1040</v>
      </c>
      <c r="F145" t="s">
        <v>1926</v>
      </c>
      <c r="G145">
        <v>22</v>
      </c>
      <c r="H145">
        <v>11</v>
      </c>
      <c r="I145">
        <v>1.6589</v>
      </c>
      <c r="J145">
        <v>144</v>
      </c>
      <c r="K145">
        <v>0.54320000000000002</v>
      </c>
      <c r="L145">
        <v>145</v>
      </c>
      <c r="M145">
        <v>110.874</v>
      </c>
      <c r="N145">
        <v>141</v>
      </c>
      <c r="O145">
        <v>114.06699999999999</v>
      </c>
      <c r="P145">
        <v>72</v>
      </c>
      <c r="Q145">
        <v>109.215</v>
      </c>
      <c r="R145">
        <v>171</v>
      </c>
      <c r="S145">
        <v>108.553</v>
      </c>
      <c r="T145">
        <v>179</v>
      </c>
      <c r="U145">
        <v>66.123900000000006</v>
      </c>
      <c r="V145">
        <v>292</v>
      </c>
      <c r="W145">
        <v>64.469899999999996</v>
      </c>
      <c r="X145">
        <v>326</v>
      </c>
      <c r="Y145">
        <v>2.93E-2</v>
      </c>
      <c r="Z145">
        <v>110</v>
      </c>
      <c r="AA145">
        <v>-4.5918000000000001</v>
      </c>
      <c r="AB145">
        <v>257</v>
      </c>
      <c r="AC145">
        <v>109.023</v>
      </c>
      <c r="AD145">
        <v>171</v>
      </c>
      <c r="AE145">
        <v>113.61499999999999</v>
      </c>
      <c r="AF145">
        <v>340</v>
      </c>
      <c r="AG145">
        <v>-1.5085</v>
      </c>
      <c r="AH145">
        <v>226</v>
      </c>
      <c r="AJ145">
        <v>18.690000000000001</v>
      </c>
      <c r="AK145">
        <v>308</v>
      </c>
      <c r="AL145">
        <v>17.59</v>
      </c>
      <c r="AM145">
        <v>193</v>
      </c>
      <c r="AN145">
        <v>18.77</v>
      </c>
      <c r="AO145">
        <v>10</v>
      </c>
      <c r="AP145">
        <v>17.440000000000001</v>
      </c>
      <c r="AQ145">
        <v>7</v>
      </c>
    </row>
    <row r="146" spans="1:43" x14ac:dyDescent="0.2">
      <c r="A146" t="s">
        <v>1782</v>
      </c>
      <c r="B146">
        <v>2026</v>
      </c>
      <c r="C146" t="s">
        <v>241</v>
      </c>
      <c r="D146">
        <v>0</v>
      </c>
      <c r="E146" t="s">
        <v>1031</v>
      </c>
      <c r="F146" t="s">
        <v>1927</v>
      </c>
      <c r="G146">
        <v>21</v>
      </c>
      <c r="H146">
        <v>14</v>
      </c>
      <c r="I146">
        <v>1.6012999999999999</v>
      </c>
      <c r="J146">
        <v>145</v>
      </c>
      <c r="K146">
        <v>0.54239999999999999</v>
      </c>
      <c r="L146">
        <v>146</v>
      </c>
      <c r="M146">
        <v>109.045</v>
      </c>
      <c r="N146">
        <v>175</v>
      </c>
      <c r="O146">
        <v>110.399</v>
      </c>
      <c r="P146">
        <v>131</v>
      </c>
      <c r="Q146">
        <v>107.444</v>
      </c>
      <c r="R146">
        <v>135</v>
      </c>
      <c r="S146">
        <v>106.798</v>
      </c>
      <c r="T146">
        <v>133</v>
      </c>
      <c r="U146">
        <v>69.237099999999998</v>
      </c>
      <c r="V146">
        <v>133</v>
      </c>
      <c r="W146">
        <v>67.745000000000005</v>
      </c>
      <c r="X146">
        <v>157</v>
      </c>
      <c r="Y146">
        <v>-1.23E-2</v>
      </c>
      <c r="Z146">
        <v>220</v>
      </c>
      <c r="AA146">
        <v>-1.6268</v>
      </c>
      <c r="AB146">
        <v>191</v>
      </c>
      <c r="AC146">
        <v>109.57299999999999</v>
      </c>
      <c r="AD146">
        <v>145</v>
      </c>
      <c r="AE146">
        <v>111.199</v>
      </c>
      <c r="AF146">
        <v>228</v>
      </c>
      <c r="AG146">
        <v>0.85270000000000001</v>
      </c>
      <c r="AH146">
        <v>157</v>
      </c>
      <c r="AJ146">
        <v>17.829999999999998</v>
      </c>
      <c r="AK146">
        <v>215</v>
      </c>
      <c r="AL146">
        <v>17.059999999999999</v>
      </c>
      <c r="AM146">
        <v>77</v>
      </c>
      <c r="AN146">
        <v>16.989999999999998</v>
      </c>
      <c r="AO146">
        <v>3</v>
      </c>
      <c r="AP146">
        <v>17.59</v>
      </c>
      <c r="AQ146">
        <v>6</v>
      </c>
    </row>
    <row r="147" spans="1:43" x14ac:dyDescent="0.2">
      <c r="A147" t="s">
        <v>1782</v>
      </c>
      <c r="B147">
        <v>2026</v>
      </c>
      <c r="C147" t="s">
        <v>469</v>
      </c>
      <c r="D147">
        <v>0</v>
      </c>
      <c r="E147" t="s">
        <v>1031</v>
      </c>
      <c r="F147" t="s">
        <v>1928</v>
      </c>
      <c r="G147">
        <v>20</v>
      </c>
      <c r="H147">
        <v>11</v>
      </c>
      <c r="I147">
        <v>1.5705</v>
      </c>
      <c r="J147">
        <v>146</v>
      </c>
      <c r="K147">
        <v>0.54379999999999995</v>
      </c>
      <c r="L147">
        <v>144</v>
      </c>
      <c r="M147">
        <v>103.685</v>
      </c>
      <c r="N147">
        <v>278</v>
      </c>
      <c r="O147">
        <v>106.07899999999999</v>
      </c>
      <c r="P147">
        <v>228</v>
      </c>
      <c r="Q147">
        <v>102.114</v>
      </c>
      <c r="R147">
        <v>47</v>
      </c>
      <c r="S147">
        <v>102.03</v>
      </c>
      <c r="T147">
        <v>46</v>
      </c>
      <c r="U147">
        <v>69.014799999999994</v>
      </c>
      <c r="V147">
        <v>151</v>
      </c>
      <c r="W147">
        <v>68.004499999999993</v>
      </c>
      <c r="X147">
        <v>139</v>
      </c>
      <c r="Y147">
        <v>8.2000000000000007E-3</v>
      </c>
      <c r="Z147">
        <v>169</v>
      </c>
      <c r="AA147">
        <v>-1.9655</v>
      </c>
      <c r="AB147">
        <v>203</v>
      </c>
      <c r="AC147">
        <v>109.944</v>
      </c>
      <c r="AD147">
        <v>125</v>
      </c>
      <c r="AE147">
        <v>111.91</v>
      </c>
      <c r="AF147">
        <v>264</v>
      </c>
      <c r="AG147">
        <v>1.4543999999999999</v>
      </c>
      <c r="AH147">
        <v>136</v>
      </c>
      <c r="AJ147">
        <v>17.77</v>
      </c>
      <c r="AK147">
        <v>209</v>
      </c>
      <c r="AL147">
        <v>17.04</v>
      </c>
      <c r="AM147">
        <v>72</v>
      </c>
      <c r="AN147">
        <v>18.11</v>
      </c>
      <c r="AO147">
        <v>7</v>
      </c>
      <c r="AP147">
        <v>17.28</v>
      </c>
      <c r="AQ147">
        <v>3</v>
      </c>
    </row>
    <row r="148" spans="1:43" x14ac:dyDescent="0.2">
      <c r="A148" t="s">
        <v>1782</v>
      </c>
      <c r="B148">
        <v>2026</v>
      </c>
      <c r="C148" t="s">
        <v>61</v>
      </c>
      <c r="D148">
        <v>0</v>
      </c>
      <c r="E148" t="s">
        <v>953</v>
      </c>
      <c r="F148" t="s">
        <v>1929</v>
      </c>
      <c r="G148">
        <v>18</v>
      </c>
      <c r="H148">
        <v>14</v>
      </c>
      <c r="I148">
        <v>1.5058</v>
      </c>
      <c r="J148">
        <v>147</v>
      </c>
      <c r="K148">
        <v>0.54049999999999998</v>
      </c>
      <c r="L148">
        <v>147</v>
      </c>
      <c r="M148">
        <v>107.289</v>
      </c>
      <c r="N148">
        <v>208</v>
      </c>
      <c r="O148">
        <v>109.23</v>
      </c>
      <c r="P148">
        <v>155</v>
      </c>
      <c r="Q148">
        <v>105.783</v>
      </c>
      <c r="R148">
        <v>105</v>
      </c>
      <c r="S148">
        <v>102.681</v>
      </c>
      <c r="T148">
        <v>56</v>
      </c>
      <c r="U148">
        <v>70.166700000000006</v>
      </c>
      <c r="V148">
        <v>87</v>
      </c>
      <c r="W148">
        <v>68.327299999999994</v>
      </c>
      <c r="X148">
        <v>124</v>
      </c>
      <c r="Y148">
        <v>-9.4799999999999995E-2</v>
      </c>
      <c r="Z148">
        <v>356</v>
      </c>
      <c r="AA148">
        <v>-3.3498000000000001</v>
      </c>
      <c r="AB148">
        <v>227</v>
      </c>
      <c r="AC148">
        <v>108.47199999999999</v>
      </c>
      <c r="AD148">
        <v>203</v>
      </c>
      <c r="AE148">
        <v>111.821</v>
      </c>
      <c r="AF148">
        <v>261</v>
      </c>
      <c r="AG148">
        <v>-6.3125999999999998</v>
      </c>
      <c r="AH148">
        <v>320</v>
      </c>
      <c r="AJ148">
        <v>17.3</v>
      </c>
      <c r="AK148">
        <v>152</v>
      </c>
      <c r="AL148">
        <v>16.73</v>
      </c>
      <c r="AM148">
        <v>31</v>
      </c>
      <c r="AN148">
        <v>17.36</v>
      </c>
      <c r="AO148">
        <v>7</v>
      </c>
      <c r="AP148">
        <v>16.91</v>
      </c>
      <c r="AQ148">
        <v>2</v>
      </c>
    </row>
    <row r="149" spans="1:43" x14ac:dyDescent="0.2">
      <c r="A149" t="s">
        <v>1782</v>
      </c>
      <c r="B149">
        <v>2026</v>
      </c>
      <c r="C149" t="s">
        <v>711</v>
      </c>
      <c r="D149">
        <v>0</v>
      </c>
      <c r="E149" t="s">
        <v>980</v>
      </c>
      <c r="F149" t="s">
        <v>1930</v>
      </c>
      <c r="G149">
        <v>20</v>
      </c>
      <c r="H149">
        <v>12</v>
      </c>
      <c r="I149">
        <v>1.4494</v>
      </c>
      <c r="J149">
        <v>148</v>
      </c>
      <c r="K149">
        <v>0.53769999999999996</v>
      </c>
      <c r="L149">
        <v>148</v>
      </c>
      <c r="M149">
        <v>111.095</v>
      </c>
      <c r="N149">
        <v>137</v>
      </c>
      <c r="O149">
        <v>110.98399999999999</v>
      </c>
      <c r="P149">
        <v>124</v>
      </c>
      <c r="Q149">
        <v>109.646</v>
      </c>
      <c r="R149">
        <v>186</v>
      </c>
      <c r="S149">
        <v>107.27</v>
      </c>
      <c r="T149">
        <v>141</v>
      </c>
      <c r="U149">
        <v>73.569599999999994</v>
      </c>
      <c r="V149">
        <v>8</v>
      </c>
      <c r="W149">
        <v>72.574700000000007</v>
      </c>
      <c r="X149">
        <v>7</v>
      </c>
      <c r="Y149">
        <v>2.4500000000000001E-2</v>
      </c>
      <c r="Z149">
        <v>124</v>
      </c>
      <c r="AA149">
        <v>-2.1551999999999998</v>
      </c>
      <c r="AB149">
        <v>208</v>
      </c>
      <c r="AC149">
        <v>108.369</v>
      </c>
      <c r="AD149">
        <v>212</v>
      </c>
      <c r="AE149">
        <v>110.524</v>
      </c>
      <c r="AF149">
        <v>205</v>
      </c>
      <c r="AG149">
        <v>0.25209999999999999</v>
      </c>
      <c r="AH149">
        <v>178</v>
      </c>
      <c r="AJ149">
        <v>13.68</v>
      </c>
      <c r="AK149">
        <v>1</v>
      </c>
      <c r="AL149">
        <v>18.78</v>
      </c>
      <c r="AM149">
        <v>358</v>
      </c>
      <c r="AN149">
        <v>13.8</v>
      </c>
      <c r="AO149">
        <v>1</v>
      </c>
      <c r="AP149">
        <v>19.260000000000002</v>
      </c>
      <c r="AQ149">
        <v>13</v>
      </c>
    </row>
    <row r="150" spans="1:43" x14ac:dyDescent="0.2">
      <c r="A150" t="s">
        <v>1782</v>
      </c>
      <c r="B150">
        <v>2026</v>
      </c>
      <c r="C150" t="s">
        <v>277</v>
      </c>
      <c r="D150">
        <v>0</v>
      </c>
      <c r="E150" t="s">
        <v>953</v>
      </c>
      <c r="F150" t="s">
        <v>1931</v>
      </c>
      <c r="G150">
        <v>24</v>
      </c>
      <c r="H150">
        <v>8</v>
      </c>
      <c r="I150">
        <v>1.4265000000000001</v>
      </c>
      <c r="J150">
        <v>149</v>
      </c>
      <c r="K150">
        <v>0.53669999999999995</v>
      </c>
      <c r="L150">
        <v>149</v>
      </c>
      <c r="M150">
        <v>112.271</v>
      </c>
      <c r="N150">
        <v>117</v>
      </c>
      <c r="O150">
        <v>113.352</v>
      </c>
      <c r="P150">
        <v>86</v>
      </c>
      <c r="Q150">
        <v>110.845</v>
      </c>
      <c r="R150">
        <v>208</v>
      </c>
      <c r="S150">
        <v>109.723</v>
      </c>
      <c r="T150">
        <v>212</v>
      </c>
      <c r="U150">
        <v>72.228200000000001</v>
      </c>
      <c r="V150">
        <v>24</v>
      </c>
      <c r="W150">
        <v>70.402600000000007</v>
      </c>
      <c r="X150">
        <v>33</v>
      </c>
      <c r="Y150">
        <v>0.14979999999999999</v>
      </c>
      <c r="Z150">
        <v>2</v>
      </c>
      <c r="AA150">
        <v>-3.1869999999999998</v>
      </c>
      <c r="AB150">
        <v>225</v>
      </c>
      <c r="AC150">
        <v>109.173</v>
      </c>
      <c r="AD150">
        <v>160</v>
      </c>
      <c r="AE150">
        <v>112.36</v>
      </c>
      <c r="AF150">
        <v>286</v>
      </c>
      <c r="AG150">
        <v>-3.3422999999999998</v>
      </c>
      <c r="AH150">
        <v>275</v>
      </c>
      <c r="AJ150">
        <v>16.420000000000002</v>
      </c>
      <c r="AK150">
        <v>53</v>
      </c>
      <c r="AL150">
        <v>17.03</v>
      </c>
      <c r="AM150">
        <v>69</v>
      </c>
      <c r="AN150">
        <v>16.91</v>
      </c>
      <c r="AO150">
        <v>4</v>
      </c>
      <c r="AP150">
        <v>17.239999999999998</v>
      </c>
      <c r="AQ150">
        <v>6</v>
      </c>
    </row>
    <row r="151" spans="1:43" x14ac:dyDescent="0.2">
      <c r="A151" t="s">
        <v>1782</v>
      </c>
      <c r="B151">
        <v>2026</v>
      </c>
      <c r="C151" t="s">
        <v>29</v>
      </c>
      <c r="D151">
        <v>0</v>
      </c>
      <c r="E151" t="s">
        <v>1045</v>
      </c>
      <c r="F151" t="s">
        <v>1932</v>
      </c>
      <c r="G151">
        <v>20</v>
      </c>
      <c r="H151">
        <v>12</v>
      </c>
      <c r="I151">
        <v>1.3900999999999999</v>
      </c>
      <c r="J151">
        <v>150</v>
      </c>
      <c r="K151">
        <v>0.53620000000000001</v>
      </c>
      <c r="L151">
        <v>150</v>
      </c>
      <c r="M151">
        <v>110.812</v>
      </c>
      <c r="N151">
        <v>144</v>
      </c>
      <c r="O151">
        <v>111.34699999999999</v>
      </c>
      <c r="P151">
        <v>114</v>
      </c>
      <c r="Q151">
        <v>109.422</v>
      </c>
      <c r="R151">
        <v>177</v>
      </c>
      <c r="S151">
        <v>106.411</v>
      </c>
      <c r="T151">
        <v>121</v>
      </c>
      <c r="U151">
        <v>72.558999999999997</v>
      </c>
      <c r="V151">
        <v>18</v>
      </c>
      <c r="W151">
        <v>71.975499999999997</v>
      </c>
      <c r="X151">
        <v>10</v>
      </c>
      <c r="Y151">
        <v>7.9000000000000008E-3</v>
      </c>
      <c r="Z151">
        <v>172</v>
      </c>
      <c r="AA151">
        <v>-3.8513000000000002</v>
      </c>
      <c r="AB151">
        <v>241</v>
      </c>
      <c r="AC151">
        <v>107.265</v>
      </c>
      <c r="AD151">
        <v>263</v>
      </c>
      <c r="AE151">
        <v>111.116</v>
      </c>
      <c r="AF151">
        <v>225</v>
      </c>
      <c r="AG151">
        <v>2.7551000000000001</v>
      </c>
      <c r="AH151">
        <v>111</v>
      </c>
      <c r="AJ151">
        <v>15.25</v>
      </c>
      <c r="AK151">
        <v>7</v>
      </c>
      <c r="AL151">
        <v>17.77</v>
      </c>
      <c r="AM151">
        <v>243</v>
      </c>
      <c r="AN151">
        <v>15.29</v>
      </c>
      <c r="AO151">
        <v>1</v>
      </c>
      <c r="AP151">
        <v>17.87</v>
      </c>
      <c r="AQ151">
        <v>9</v>
      </c>
    </row>
    <row r="152" spans="1:43" x14ac:dyDescent="0.2">
      <c r="A152" t="s">
        <v>1782</v>
      </c>
      <c r="B152">
        <v>2026</v>
      </c>
      <c r="C152" t="s">
        <v>221</v>
      </c>
      <c r="D152">
        <v>0</v>
      </c>
      <c r="E152" t="s">
        <v>973</v>
      </c>
      <c r="F152" t="s">
        <v>1933</v>
      </c>
      <c r="G152">
        <v>17</v>
      </c>
      <c r="H152">
        <v>11</v>
      </c>
      <c r="I152">
        <v>1.3075000000000001</v>
      </c>
      <c r="J152">
        <v>151</v>
      </c>
      <c r="K152">
        <v>0.53510000000000002</v>
      </c>
      <c r="L152">
        <v>151</v>
      </c>
      <c r="M152">
        <v>107.578</v>
      </c>
      <c r="N152">
        <v>203</v>
      </c>
      <c r="O152">
        <v>108.774</v>
      </c>
      <c r="P152">
        <v>170</v>
      </c>
      <c r="Q152">
        <v>106.27</v>
      </c>
      <c r="R152">
        <v>113</v>
      </c>
      <c r="S152">
        <v>104.242</v>
      </c>
      <c r="T152">
        <v>79</v>
      </c>
      <c r="U152">
        <v>64.005899999999997</v>
      </c>
      <c r="V152">
        <v>355</v>
      </c>
      <c r="W152">
        <v>63.056699999999999</v>
      </c>
      <c r="X152">
        <v>356</v>
      </c>
      <c r="Y152">
        <v>2.3E-3</v>
      </c>
      <c r="Z152">
        <v>186</v>
      </c>
      <c r="AA152">
        <v>-3.6400999999999999</v>
      </c>
      <c r="AB152">
        <v>233</v>
      </c>
      <c r="AC152">
        <v>107.95099999999999</v>
      </c>
      <c r="AD152">
        <v>240</v>
      </c>
      <c r="AE152">
        <v>111.59099999999999</v>
      </c>
      <c r="AF152">
        <v>242</v>
      </c>
      <c r="AG152">
        <v>-5.1071999999999997</v>
      </c>
      <c r="AH152">
        <v>302</v>
      </c>
      <c r="AJ152">
        <v>18.78</v>
      </c>
      <c r="AK152">
        <v>314</v>
      </c>
      <c r="AL152">
        <v>18.64</v>
      </c>
      <c r="AM152">
        <v>354</v>
      </c>
      <c r="AN152">
        <v>19.5</v>
      </c>
      <c r="AO152">
        <v>7</v>
      </c>
      <c r="AP152">
        <v>18.760000000000002</v>
      </c>
      <c r="AQ152">
        <v>8</v>
      </c>
    </row>
    <row r="153" spans="1:43" x14ac:dyDescent="0.2">
      <c r="A153" t="s">
        <v>1782</v>
      </c>
      <c r="B153">
        <v>2026</v>
      </c>
      <c r="C153" t="s">
        <v>91</v>
      </c>
      <c r="D153">
        <v>0</v>
      </c>
      <c r="E153" t="s">
        <v>1055</v>
      </c>
      <c r="F153" t="s">
        <v>1934</v>
      </c>
      <c r="G153">
        <v>22</v>
      </c>
      <c r="H153">
        <v>12</v>
      </c>
      <c r="I153">
        <v>1.2241</v>
      </c>
      <c r="J153">
        <v>152</v>
      </c>
      <c r="K153">
        <v>0.53200000000000003</v>
      </c>
      <c r="L153">
        <v>152</v>
      </c>
      <c r="M153">
        <v>110.328</v>
      </c>
      <c r="N153">
        <v>150</v>
      </c>
      <c r="O153">
        <v>113.381</v>
      </c>
      <c r="P153">
        <v>84</v>
      </c>
      <c r="Q153">
        <v>109.104</v>
      </c>
      <c r="R153">
        <v>165</v>
      </c>
      <c r="S153">
        <v>108.054</v>
      </c>
      <c r="T153">
        <v>168</v>
      </c>
      <c r="U153">
        <v>68.925899999999999</v>
      </c>
      <c r="V153">
        <v>157</v>
      </c>
      <c r="W153">
        <v>67.959400000000002</v>
      </c>
      <c r="X153">
        <v>142</v>
      </c>
      <c r="Y153">
        <v>4.0899999999999999E-2</v>
      </c>
      <c r="Z153">
        <v>84</v>
      </c>
      <c r="AA153">
        <v>-5.452</v>
      </c>
      <c r="AB153">
        <v>271</v>
      </c>
      <c r="AC153">
        <v>109.185</v>
      </c>
      <c r="AD153">
        <v>159</v>
      </c>
      <c r="AE153">
        <v>114.637</v>
      </c>
      <c r="AF153">
        <v>357</v>
      </c>
      <c r="AG153">
        <v>5.6218000000000004</v>
      </c>
      <c r="AH153">
        <v>58</v>
      </c>
      <c r="AJ153">
        <v>17.23</v>
      </c>
      <c r="AK153">
        <v>138</v>
      </c>
      <c r="AL153">
        <v>17.29</v>
      </c>
      <c r="AM153">
        <v>122</v>
      </c>
      <c r="AN153">
        <v>17.21</v>
      </c>
      <c r="AO153">
        <v>6</v>
      </c>
      <c r="AP153">
        <v>17.91</v>
      </c>
      <c r="AQ153">
        <v>8</v>
      </c>
    </row>
    <row r="154" spans="1:43" x14ac:dyDescent="0.2">
      <c r="A154" t="s">
        <v>1782</v>
      </c>
      <c r="B154">
        <v>2026</v>
      </c>
      <c r="C154" t="s">
        <v>713</v>
      </c>
      <c r="D154">
        <v>0</v>
      </c>
      <c r="E154" t="s">
        <v>987</v>
      </c>
      <c r="F154" t="s">
        <v>1935</v>
      </c>
      <c r="G154">
        <v>23</v>
      </c>
      <c r="H154">
        <v>11</v>
      </c>
      <c r="I154">
        <v>1.1555</v>
      </c>
      <c r="J154">
        <v>153</v>
      </c>
      <c r="K154">
        <v>0.52980000000000005</v>
      </c>
      <c r="L154">
        <v>154</v>
      </c>
      <c r="M154">
        <v>111.81</v>
      </c>
      <c r="N154">
        <v>127</v>
      </c>
      <c r="O154">
        <v>113.181</v>
      </c>
      <c r="P154">
        <v>87</v>
      </c>
      <c r="Q154">
        <v>110.655</v>
      </c>
      <c r="R154">
        <v>205</v>
      </c>
      <c r="S154">
        <v>107.925</v>
      </c>
      <c r="T154">
        <v>164</v>
      </c>
      <c r="U154">
        <v>71.694199999999995</v>
      </c>
      <c r="V154">
        <v>31</v>
      </c>
      <c r="W154">
        <v>70.010300000000001</v>
      </c>
      <c r="X154">
        <v>44</v>
      </c>
      <c r="Y154">
        <v>2.5100000000000001E-2</v>
      </c>
      <c r="Z154">
        <v>123</v>
      </c>
      <c r="AA154">
        <v>-4.7697000000000003</v>
      </c>
      <c r="AB154">
        <v>260</v>
      </c>
      <c r="AC154">
        <v>107.02</v>
      </c>
      <c r="AD154">
        <v>271</v>
      </c>
      <c r="AE154">
        <v>111.79</v>
      </c>
      <c r="AF154">
        <v>258</v>
      </c>
      <c r="AG154">
        <v>1.1363000000000001</v>
      </c>
      <c r="AH154">
        <v>146</v>
      </c>
      <c r="AJ154">
        <v>16.52</v>
      </c>
      <c r="AK154">
        <v>59</v>
      </c>
      <c r="AL154">
        <v>16.91</v>
      </c>
      <c r="AM154">
        <v>51</v>
      </c>
      <c r="AN154">
        <v>17.11</v>
      </c>
      <c r="AO154">
        <v>6</v>
      </c>
      <c r="AP154">
        <v>16.399999999999999</v>
      </c>
      <c r="AQ154">
        <v>1</v>
      </c>
    </row>
    <row r="155" spans="1:43" x14ac:dyDescent="0.2">
      <c r="A155" t="s">
        <v>1782</v>
      </c>
      <c r="B155">
        <v>2026</v>
      </c>
      <c r="C155" t="s">
        <v>57</v>
      </c>
      <c r="D155">
        <v>0</v>
      </c>
      <c r="E155" t="s">
        <v>881</v>
      </c>
      <c r="F155" t="s">
        <v>1936</v>
      </c>
      <c r="G155">
        <v>11</v>
      </c>
      <c r="H155">
        <v>20</v>
      </c>
      <c r="I155">
        <v>1.1519999999999999</v>
      </c>
      <c r="J155">
        <v>154</v>
      </c>
      <c r="K155">
        <v>0.53200000000000003</v>
      </c>
      <c r="L155">
        <v>153</v>
      </c>
      <c r="M155">
        <v>103.95099999999999</v>
      </c>
      <c r="N155">
        <v>273</v>
      </c>
      <c r="O155">
        <v>99.975399999999993</v>
      </c>
      <c r="P155">
        <v>328</v>
      </c>
      <c r="Q155">
        <v>102.79900000000001</v>
      </c>
      <c r="R155">
        <v>59</v>
      </c>
      <c r="S155">
        <v>104.96</v>
      </c>
      <c r="T155">
        <v>92</v>
      </c>
      <c r="U155">
        <v>66.331000000000003</v>
      </c>
      <c r="V155">
        <v>286</v>
      </c>
      <c r="W155">
        <v>65.974999999999994</v>
      </c>
      <c r="X155">
        <v>259</v>
      </c>
      <c r="Y155">
        <v>-3.5299999999999998E-2</v>
      </c>
      <c r="Z155">
        <v>286</v>
      </c>
      <c r="AA155">
        <v>6.6519000000000004</v>
      </c>
      <c r="AB155">
        <v>82</v>
      </c>
      <c r="AC155">
        <v>113.261</v>
      </c>
      <c r="AD155">
        <v>80</v>
      </c>
      <c r="AE155">
        <v>106.60899999999999</v>
      </c>
      <c r="AF155">
        <v>89</v>
      </c>
      <c r="AG155">
        <v>-7.4077000000000002</v>
      </c>
      <c r="AH155">
        <v>340</v>
      </c>
      <c r="AJ155">
        <v>18.61</v>
      </c>
      <c r="AK155">
        <v>302</v>
      </c>
      <c r="AL155">
        <v>17.260000000000002</v>
      </c>
      <c r="AM155">
        <v>117</v>
      </c>
      <c r="AN155">
        <v>19.05</v>
      </c>
      <c r="AO155">
        <v>17</v>
      </c>
      <c r="AP155">
        <v>16.88</v>
      </c>
      <c r="AQ155">
        <v>1</v>
      </c>
    </row>
    <row r="156" spans="1:43" x14ac:dyDescent="0.2">
      <c r="A156" t="s">
        <v>1782</v>
      </c>
      <c r="B156">
        <v>2026</v>
      </c>
      <c r="C156" t="s">
        <v>657</v>
      </c>
      <c r="D156">
        <v>0</v>
      </c>
      <c r="E156" t="s">
        <v>983</v>
      </c>
      <c r="F156" t="s">
        <v>1937</v>
      </c>
      <c r="G156">
        <v>18</v>
      </c>
      <c r="H156">
        <v>13</v>
      </c>
      <c r="I156">
        <v>0.999</v>
      </c>
      <c r="J156">
        <v>155</v>
      </c>
      <c r="K156">
        <v>0.52810000000000001</v>
      </c>
      <c r="L156">
        <v>155</v>
      </c>
      <c r="M156">
        <v>102.47199999999999</v>
      </c>
      <c r="N156">
        <v>296</v>
      </c>
      <c r="O156">
        <v>100.545</v>
      </c>
      <c r="P156">
        <v>320</v>
      </c>
      <c r="Q156">
        <v>101.473</v>
      </c>
      <c r="R156">
        <v>41</v>
      </c>
      <c r="S156">
        <v>100.30800000000001</v>
      </c>
      <c r="T156">
        <v>31</v>
      </c>
      <c r="U156">
        <v>66.660600000000002</v>
      </c>
      <c r="V156">
        <v>261</v>
      </c>
      <c r="W156">
        <v>65.0261</v>
      </c>
      <c r="X156">
        <v>307</v>
      </c>
      <c r="Y156">
        <v>4.6199999999999998E-2</v>
      </c>
      <c r="Z156">
        <v>67</v>
      </c>
      <c r="AA156">
        <v>0.23080000000000001</v>
      </c>
      <c r="AB156">
        <v>144</v>
      </c>
      <c r="AC156">
        <v>108.83499999999999</v>
      </c>
      <c r="AD156">
        <v>179</v>
      </c>
      <c r="AE156">
        <v>108.604</v>
      </c>
      <c r="AF156">
        <v>138</v>
      </c>
      <c r="AG156">
        <v>3.3593999999999999</v>
      </c>
      <c r="AH156">
        <v>98</v>
      </c>
      <c r="AJ156">
        <v>18.670000000000002</v>
      </c>
      <c r="AK156">
        <v>306</v>
      </c>
      <c r="AL156">
        <v>16.63</v>
      </c>
      <c r="AM156">
        <v>23</v>
      </c>
      <c r="AN156">
        <v>18.87</v>
      </c>
      <c r="AO156">
        <v>7</v>
      </c>
      <c r="AP156">
        <v>17.27</v>
      </c>
      <c r="AQ156">
        <v>2</v>
      </c>
    </row>
    <row r="157" spans="1:43" x14ac:dyDescent="0.2">
      <c r="A157" t="s">
        <v>1782</v>
      </c>
      <c r="B157">
        <v>2026</v>
      </c>
      <c r="C157" t="s">
        <v>613</v>
      </c>
      <c r="D157">
        <v>0</v>
      </c>
      <c r="E157" t="s">
        <v>980</v>
      </c>
      <c r="F157" t="s">
        <v>1938</v>
      </c>
      <c r="G157">
        <v>19</v>
      </c>
      <c r="H157">
        <v>15</v>
      </c>
      <c r="I157">
        <v>0.99160000000000004</v>
      </c>
      <c r="J157">
        <v>156</v>
      </c>
      <c r="K157">
        <v>0.52700000000000002</v>
      </c>
      <c r="L157">
        <v>156</v>
      </c>
      <c r="M157">
        <v>105.901</v>
      </c>
      <c r="N157">
        <v>237</v>
      </c>
      <c r="O157">
        <v>104.625</v>
      </c>
      <c r="P157">
        <v>260</v>
      </c>
      <c r="Q157">
        <v>104.90900000000001</v>
      </c>
      <c r="R157">
        <v>90</v>
      </c>
      <c r="S157">
        <v>103.53700000000001</v>
      </c>
      <c r="T157">
        <v>69</v>
      </c>
      <c r="U157">
        <v>63.869500000000002</v>
      </c>
      <c r="V157">
        <v>358</v>
      </c>
      <c r="W157">
        <v>63.454300000000003</v>
      </c>
      <c r="X157">
        <v>347</v>
      </c>
      <c r="Y157">
        <v>1.17E-2</v>
      </c>
      <c r="Z157">
        <v>152</v>
      </c>
      <c r="AA157">
        <v>-1.0159</v>
      </c>
      <c r="AB157">
        <v>175</v>
      </c>
      <c r="AC157">
        <v>109.116</v>
      </c>
      <c r="AD157">
        <v>165</v>
      </c>
      <c r="AE157">
        <v>110.13200000000001</v>
      </c>
      <c r="AF157">
        <v>190</v>
      </c>
      <c r="AG157">
        <v>2.7688000000000001</v>
      </c>
      <c r="AH157">
        <v>110</v>
      </c>
      <c r="AJ157">
        <v>18.829999999999998</v>
      </c>
      <c r="AK157">
        <v>317</v>
      </c>
      <c r="AL157">
        <v>18.53</v>
      </c>
      <c r="AM157">
        <v>350</v>
      </c>
      <c r="AN157">
        <v>18.32</v>
      </c>
      <c r="AO157">
        <v>8</v>
      </c>
      <c r="AP157">
        <v>18.84</v>
      </c>
      <c r="AQ157">
        <v>12</v>
      </c>
    </row>
    <row r="158" spans="1:43" x14ac:dyDescent="0.2">
      <c r="A158" t="s">
        <v>1782</v>
      </c>
      <c r="B158">
        <v>2026</v>
      </c>
      <c r="C158" t="s">
        <v>675</v>
      </c>
      <c r="D158">
        <v>0</v>
      </c>
      <c r="E158" t="s">
        <v>959</v>
      </c>
      <c r="F158" t="s">
        <v>1939</v>
      </c>
      <c r="G158">
        <v>18</v>
      </c>
      <c r="H158">
        <v>15</v>
      </c>
      <c r="I158">
        <v>0.98170000000000002</v>
      </c>
      <c r="J158">
        <v>157</v>
      </c>
      <c r="K158">
        <v>0.5262</v>
      </c>
      <c r="L158">
        <v>157</v>
      </c>
      <c r="M158">
        <v>108.28400000000001</v>
      </c>
      <c r="N158">
        <v>184</v>
      </c>
      <c r="O158">
        <v>105.898</v>
      </c>
      <c r="P158">
        <v>231</v>
      </c>
      <c r="Q158">
        <v>107.30200000000001</v>
      </c>
      <c r="R158">
        <v>134</v>
      </c>
      <c r="S158">
        <v>106.339</v>
      </c>
      <c r="T158">
        <v>120</v>
      </c>
      <c r="U158">
        <v>66.117599999999996</v>
      </c>
      <c r="V158">
        <v>293</v>
      </c>
      <c r="W158">
        <v>65.132099999999994</v>
      </c>
      <c r="X158">
        <v>301</v>
      </c>
      <c r="Y158">
        <v>4.0599999999999997E-2</v>
      </c>
      <c r="Z158">
        <v>85</v>
      </c>
      <c r="AA158">
        <v>0.79910000000000003</v>
      </c>
      <c r="AB158">
        <v>131</v>
      </c>
      <c r="AC158">
        <v>109.35599999999999</v>
      </c>
      <c r="AD158">
        <v>151</v>
      </c>
      <c r="AE158">
        <v>108.556</v>
      </c>
      <c r="AF158">
        <v>137</v>
      </c>
      <c r="AG158">
        <v>-6.0396999999999998</v>
      </c>
      <c r="AH158">
        <v>318</v>
      </c>
      <c r="AJ158">
        <v>18.25</v>
      </c>
      <c r="AK158">
        <v>262</v>
      </c>
      <c r="AL158">
        <v>18</v>
      </c>
      <c r="AM158">
        <v>292</v>
      </c>
      <c r="AN158">
        <v>18.36</v>
      </c>
      <c r="AO158">
        <v>8</v>
      </c>
      <c r="AP158">
        <v>18.329999999999998</v>
      </c>
      <c r="AQ158">
        <v>9</v>
      </c>
    </row>
    <row r="159" spans="1:43" x14ac:dyDescent="0.2">
      <c r="A159" t="s">
        <v>1782</v>
      </c>
      <c r="B159">
        <v>2026</v>
      </c>
      <c r="C159" t="s">
        <v>127</v>
      </c>
      <c r="D159">
        <v>0</v>
      </c>
      <c r="E159" t="s">
        <v>973</v>
      </c>
      <c r="F159" t="s">
        <v>1940</v>
      </c>
      <c r="G159">
        <v>15</v>
      </c>
      <c r="H159">
        <v>12</v>
      </c>
      <c r="I159">
        <v>0.95509999999999995</v>
      </c>
      <c r="J159">
        <v>158</v>
      </c>
      <c r="K159">
        <v>0.52300000000000002</v>
      </c>
      <c r="L159">
        <v>159</v>
      </c>
      <c r="M159">
        <v>119.678</v>
      </c>
      <c r="N159">
        <v>49</v>
      </c>
      <c r="O159">
        <v>119.29600000000001</v>
      </c>
      <c r="P159">
        <v>23</v>
      </c>
      <c r="Q159">
        <v>118.723</v>
      </c>
      <c r="R159">
        <v>336</v>
      </c>
      <c r="S159">
        <v>116.53</v>
      </c>
      <c r="T159">
        <v>341</v>
      </c>
      <c r="U159">
        <v>71.689800000000005</v>
      </c>
      <c r="V159">
        <v>32</v>
      </c>
      <c r="W159">
        <v>71.584699999999998</v>
      </c>
      <c r="X159">
        <v>12</v>
      </c>
      <c r="Y159">
        <v>-2.5999999999999999E-2</v>
      </c>
      <c r="Z159">
        <v>255</v>
      </c>
      <c r="AA159">
        <v>-1.8369</v>
      </c>
      <c r="AB159">
        <v>200</v>
      </c>
      <c r="AC159">
        <v>108.005</v>
      </c>
      <c r="AD159">
        <v>237</v>
      </c>
      <c r="AE159">
        <v>109.842</v>
      </c>
      <c r="AF159">
        <v>176</v>
      </c>
      <c r="AG159">
        <v>-0.73160000000000003</v>
      </c>
      <c r="AH159">
        <v>203</v>
      </c>
      <c r="AJ159">
        <v>15.13</v>
      </c>
      <c r="AK159">
        <v>5</v>
      </c>
      <c r="AL159">
        <v>18.399999999999999</v>
      </c>
      <c r="AM159">
        <v>344</v>
      </c>
      <c r="AN159">
        <v>15.68</v>
      </c>
      <c r="AO159">
        <v>1</v>
      </c>
      <c r="AP159">
        <v>18.54</v>
      </c>
      <c r="AQ159">
        <v>7</v>
      </c>
    </row>
    <row r="160" spans="1:43" x14ac:dyDescent="0.2">
      <c r="A160" t="s">
        <v>1782</v>
      </c>
      <c r="B160">
        <v>2026</v>
      </c>
      <c r="C160" t="s">
        <v>623</v>
      </c>
      <c r="D160">
        <v>0</v>
      </c>
      <c r="E160" t="s">
        <v>1001</v>
      </c>
      <c r="F160" t="s">
        <v>1941</v>
      </c>
      <c r="G160">
        <v>19</v>
      </c>
      <c r="H160">
        <v>14</v>
      </c>
      <c r="I160">
        <v>0.92579999999999996</v>
      </c>
      <c r="J160">
        <v>159</v>
      </c>
      <c r="K160">
        <v>0.52470000000000006</v>
      </c>
      <c r="L160">
        <v>158</v>
      </c>
      <c r="M160">
        <v>108.16500000000001</v>
      </c>
      <c r="N160">
        <v>188</v>
      </c>
      <c r="O160">
        <v>106.35</v>
      </c>
      <c r="P160">
        <v>222</v>
      </c>
      <c r="Q160">
        <v>107.239</v>
      </c>
      <c r="R160">
        <v>130</v>
      </c>
      <c r="S160">
        <v>105.97199999999999</v>
      </c>
      <c r="T160">
        <v>108</v>
      </c>
      <c r="U160">
        <v>71.291399999999996</v>
      </c>
      <c r="V160">
        <v>44</v>
      </c>
      <c r="W160">
        <v>68.963099999999997</v>
      </c>
      <c r="X160">
        <v>94</v>
      </c>
      <c r="Y160">
        <v>3.9600000000000003E-2</v>
      </c>
      <c r="Z160">
        <v>89</v>
      </c>
      <c r="AA160">
        <v>-0.1993</v>
      </c>
      <c r="AB160">
        <v>157</v>
      </c>
      <c r="AC160">
        <v>108.354</v>
      </c>
      <c r="AD160">
        <v>214</v>
      </c>
      <c r="AE160">
        <v>108.553</v>
      </c>
      <c r="AF160">
        <v>136</v>
      </c>
      <c r="AG160">
        <v>1.6938</v>
      </c>
      <c r="AH160">
        <v>133</v>
      </c>
      <c r="AJ160">
        <v>16.54</v>
      </c>
      <c r="AK160">
        <v>63</v>
      </c>
      <c r="AL160">
        <v>17.14</v>
      </c>
      <c r="AM160">
        <v>88</v>
      </c>
      <c r="AN160">
        <v>16.78</v>
      </c>
      <c r="AO160">
        <v>4</v>
      </c>
      <c r="AP160">
        <v>16.98</v>
      </c>
      <c r="AQ160">
        <v>8</v>
      </c>
    </row>
    <row r="161" spans="1:43" x14ac:dyDescent="0.2">
      <c r="A161" t="s">
        <v>1782</v>
      </c>
      <c r="B161">
        <v>2026</v>
      </c>
      <c r="C161" t="s">
        <v>81</v>
      </c>
      <c r="D161">
        <v>0</v>
      </c>
      <c r="E161" t="s">
        <v>1001</v>
      </c>
      <c r="F161" t="s">
        <v>1942</v>
      </c>
      <c r="G161">
        <v>18</v>
      </c>
      <c r="H161">
        <v>15</v>
      </c>
      <c r="I161">
        <v>0.87290000000000001</v>
      </c>
      <c r="J161">
        <v>160</v>
      </c>
      <c r="K161">
        <v>0.52290000000000003</v>
      </c>
      <c r="L161">
        <v>160</v>
      </c>
      <c r="M161">
        <v>110.161</v>
      </c>
      <c r="N161">
        <v>154</v>
      </c>
      <c r="O161">
        <v>107.28400000000001</v>
      </c>
      <c r="P161">
        <v>204</v>
      </c>
      <c r="Q161">
        <v>109.288</v>
      </c>
      <c r="R161">
        <v>173</v>
      </c>
      <c r="S161">
        <v>109.08199999999999</v>
      </c>
      <c r="T161">
        <v>199</v>
      </c>
      <c r="U161">
        <v>75.516099999999994</v>
      </c>
      <c r="V161">
        <v>2</v>
      </c>
      <c r="W161">
        <v>72.899600000000007</v>
      </c>
      <c r="X161">
        <v>5</v>
      </c>
      <c r="Y161">
        <v>5.1400000000000001E-2</v>
      </c>
      <c r="Z161">
        <v>59</v>
      </c>
      <c r="AA161">
        <v>1.1963999999999999</v>
      </c>
      <c r="AB161">
        <v>124</v>
      </c>
      <c r="AC161">
        <v>109.60899999999999</v>
      </c>
      <c r="AD161">
        <v>143</v>
      </c>
      <c r="AE161">
        <v>108.41200000000001</v>
      </c>
      <c r="AF161">
        <v>129</v>
      </c>
      <c r="AG161">
        <v>6.4462000000000002</v>
      </c>
      <c r="AH161">
        <v>45</v>
      </c>
      <c r="AJ161">
        <v>14.74</v>
      </c>
      <c r="AK161">
        <v>3</v>
      </c>
      <c r="AL161">
        <v>17.12</v>
      </c>
      <c r="AM161">
        <v>83</v>
      </c>
      <c r="AN161">
        <v>14.93</v>
      </c>
      <c r="AO161">
        <v>2</v>
      </c>
      <c r="AP161">
        <v>17.579999999999998</v>
      </c>
      <c r="AQ161">
        <v>11</v>
      </c>
    </row>
    <row r="162" spans="1:43" x14ac:dyDescent="0.2">
      <c r="A162" t="s">
        <v>1782</v>
      </c>
      <c r="B162">
        <v>2026</v>
      </c>
      <c r="C162" t="s">
        <v>493</v>
      </c>
      <c r="D162">
        <v>0</v>
      </c>
      <c r="E162" t="s">
        <v>926</v>
      </c>
      <c r="F162" t="s">
        <v>1943</v>
      </c>
      <c r="G162">
        <v>15</v>
      </c>
      <c r="H162">
        <v>17</v>
      </c>
      <c r="I162">
        <v>0.81010000000000004</v>
      </c>
      <c r="J162">
        <v>161</v>
      </c>
      <c r="K162">
        <v>0.52100000000000002</v>
      </c>
      <c r="L162">
        <v>161</v>
      </c>
      <c r="M162">
        <v>111.43</v>
      </c>
      <c r="N162">
        <v>130</v>
      </c>
      <c r="O162">
        <v>111.10899999999999</v>
      </c>
      <c r="P162">
        <v>121</v>
      </c>
      <c r="Q162">
        <v>110.62</v>
      </c>
      <c r="R162">
        <v>203</v>
      </c>
      <c r="S162">
        <v>108.785</v>
      </c>
      <c r="T162">
        <v>186</v>
      </c>
      <c r="U162">
        <v>68.450999999999993</v>
      </c>
      <c r="V162">
        <v>176</v>
      </c>
      <c r="W162">
        <v>67.628900000000002</v>
      </c>
      <c r="X162">
        <v>167</v>
      </c>
      <c r="Y162">
        <v>-9.2100000000000001E-2</v>
      </c>
      <c r="Z162">
        <v>351</v>
      </c>
      <c r="AA162">
        <v>-0.16819999999999999</v>
      </c>
      <c r="AB162">
        <v>155</v>
      </c>
      <c r="AC162">
        <v>109.273</v>
      </c>
      <c r="AD162">
        <v>155</v>
      </c>
      <c r="AE162">
        <v>109.44199999999999</v>
      </c>
      <c r="AF162">
        <v>167</v>
      </c>
      <c r="AG162">
        <v>-9.1091999999999995</v>
      </c>
      <c r="AH162">
        <v>357</v>
      </c>
      <c r="AJ162">
        <v>17.62</v>
      </c>
      <c r="AK162">
        <v>185</v>
      </c>
      <c r="AL162">
        <v>17.39</v>
      </c>
      <c r="AM162">
        <v>149</v>
      </c>
      <c r="AN162">
        <v>17.850000000000001</v>
      </c>
      <c r="AO162">
        <v>6</v>
      </c>
      <c r="AP162">
        <v>18.14</v>
      </c>
      <c r="AQ162">
        <v>9</v>
      </c>
    </row>
    <row r="163" spans="1:43" x14ac:dyDescent="0.2">
      <c r="A163" t="s">
        <v>1782</v>
      </c>
      <c r="B163">
        <v>2026</v>
      </c>
      <c r="C163" t="s">
        <v>317</v>
      </c>
      <c r="D163">
        <v>0</v>
      </c>
      <c r="E163" t="s">
        <v>896</v>
      </c>
      <c r="F163" t="s">
        <v>1944</v>
      </c>
      <c r="G163">
        <v>15</v>
      </c>
      <c r="H163">
        <v>17</v>
      </c>
      <c r="I163">
        <v>0.72089999999999999</v>
      </c>
      <c r="J163">
        <v>162</v>
      </c>
      <c r="K163">
        <v>0.51949999999999996</v>
      </c>
      <c r="L163">
        <v>162</v>
      </c>
      <c r="M163">
        <v>106.664</v>
      </c>
      <c r="N163">
        <v>222</v>
      </c>
      <c r="O163">
        <v>105.123</v>
      </c>
      <c r="P163">
        <v>250</v>
      </c>
      <c r="Q163">
        <v>105.943</v>
      </c>
      <c r="R163">
        <v>108</v>
      </c>
      <c r="S163">
        <v>105.342</v>
      </c>
      <c r="T163">
        <v>100</v>
      </c>
      <c r="U163">
        <v>68.124099999999999</v>
      </c>
      <c r="V163">
        <v>195</v>
      </c>
      <c r="W163">
        <v>66.963499999999996</v>
      </c>
      <c r="X163">
        <v>202</v>
      </c>
      <c r="Y163">
        <v>-4.4600000000000001E-2</v>
      </c>
      <c r="Z163">
        <v>299</v>
      </c>
      <c r="AA163">
        <v>0.59030000000000005</v>
      </c>
      <c r="AB163">
        <v>137</v>
      </c>
      <c r="AC163">
        <v>109.81</v>
      </c>
      <c r="AD163">
        <v>132</v>
      </c>
      <c r="AE163">
        <v>109.21899999999999</v>
      </c>
      <c r="AF163">
        <v>156</v>
      </c>
      <c r="AG163">
        <v>-5.8208000000000002</v>
      </c>
      <c r="AH163">
        <v>315</v>
      </c>
      <c r="AJ163">
        <v>17.61</v>
      </c>
      <c r="AK163">
        <v>184</v>
      </c>
      <c r="AL163">
        <v>17.649999999999999</v>
      </c>
      <c r="AM163">
        <v>216</v>
      </c>
      <c r="AN163">
        <v>17.48</v>
      </c>
      <c r="AO163">
        <v>5</v>
      </c>
      <c r="AP163">
        <v>17.920000000000002</v>
      </c>
      <c r="AQ163">
        <v>10</v>
      </c>
    </row>
    <row r="164" spans="1:43" x14ac:dyDescent="0.2">
      <c r="A164" t="s">
        <v>1782</v>
      </c>
      <c r="B164">
        <v>2026</v>
      </c>
      <c r="C164" t="s">
        <v>209</v>
      </c>
      <c r="D164">
        <v>0</v>
      </c>
      <c r="E164" t="s">
        <v>881</v>
      </c>
      <c r="F164" t="s">
        <v>1945</v>
      </c>
      <c r="G164">
        <v>11</v>
      </c>
      <c r="H164">
        <v>20</v>
      </c>
      <c r="I164">
        <v>0.60260000000000002</v>
      </c>
      <c r="J164">
        <v>163</v>
      </c>
      <c r="K164">
        <v>0.5161</v>
      </c>
      <c r="L164">
        <v>163</v>
      </c>
      <c r="M164">
        <v>107.85599999999999</v>
      </c>
      <c r="N164">
        <v>195</v>
      </c>
      <c r="O164">
        <v>102.788</v>
      </c>
      <c r="P164">
        <v>295</v>
      </c>
      <c r="Q164">
        <v>107.253</v>
      </c>
      <c r="R164">
        <v>133</v>
      </c>
      <c r="S164">
        <v>108.017</v>
      </c>
      <c r="T164">
        <v>167</v>
      </c>
      <c r="U164">
        <v>71.6297</v>
      </c>
      <c r="V164">
        <v>33</v>
      </c>
      <c r="W164">
        <v>70.694400000000002</v>
      </c>
      <c r="X164">
        <v>25</v>
      </c>
      <c r="Y164">
        <v>-3.9399999999999998E-2</v>
      </c>
      <c r="Z164">
        <v>293</v>
      </c>
      <c r="AA164">
        <v>6.2735000000000003</v>
      </c>
      <c r="AB164">
        <v>84</v>
      </c>
      <c r="AC164">
        <v>112.03400000000001</v>
      </c>
      <c r="AD164">
        <v>89</v>
      </c>
      <c r="AE164">
        <v>105.76</v>
      </c>
      <c r="AF164">
        <v>73</v>
      </c>
      <c r="AG164">
        <v>-9.7811000000000003</v>
      </c>
      <c r="AH164">
        <v>360</v>
      </c>
      <c r="AJ164">
        <v>16.18</v>
      </c>
      <c r="AK164">
        <v>38</v>
      </c>
      <c r="AL164">
        <v>17.46</v>
      </c>
      <c r="AM164">
        <v>164</v>
      </c>
      <c r="AN164">
        <v>16.34</v>
      </c>
      <c r="AO164">
        <v>2</v>
      </c>
      <c r="AP164">
        <v>17.27</v>
      </c>
      <c r="AQ164">
        <v>3</v>
      </c>
    </row>
    <row r="165" spans="1:43" x14ac:dyDescent="0.2">
      <c r="A165" t="s">
        <v>1782</v>
      </c>
      <c r="B165">
        <v>2026</v>
      </c>
      <c r="C165" t="s">
        <v>459</v>
      </c>
      <c r="D165">
        <v>0</v>
      </c>
      <c r="E165" t="s">
        <v>973</v>
      </c>
      <c r="F165" t="s">
        <v>1946</v>
      </c>
      <c r="G165">
        <v>16</v>
      </c>
      <c r="H165">
        <v>11</v>
      </c>
      <c r="I165">
        <v>0.58679999999999999</v>
      </c>
      <c r="J165">
        <v>164</v>
      </c>
      <c r="K165">
        <v>0.51570000000000005</v>
      </c>
      <c r="L165">
        <v>164</v>
      </c>
      <c r="M165">
        <v>107.71299999999999</v>
      </c>
      <c r="N165">
        <v>199</v>
      </c>
      <c r="O165">
        <v>107.57899999999999</v>
      </c>
      <c r="P165">
        <v>195</v>
      </c>
      <c r="Q165">
        <v>107.126</v>
      </c>
      <c r="R165">
        <v>127</v>
      </c>
      <c r="S165">
        <v>106.11</v>
      </c>
      <c r="T165">
        <v>112</v>
      </c>
      <c r="U165">
        <v>69.256200000000007</v>
      </c>
      <c r="V165">
        <v>131</v>
      </c>
      <c r="W165">
        <v>69.218400000000003</v>
      </c>
      <c r="X165">
        <v>81</v>
      </c>
      <c r="Y165">
        <v>4.36E-2</v>
      </c>
      <c r="Z165">
        <v>74</v>
      </c>
      <c r="AA165">
        <v>-1.2568999999999999</v>
      </c>
      <c r="AB165">
        <v>181</v>
      </c>
      <c r="AC165">
        <v>108.90600000000001</v>
      </c>
      <c r="AD165">
        <v>174</v>
      </c>
      <c r="AE165">
        <v>110.163</v>
      </c>
      <c r="AF165">
        <v>192</v>
      </c>
      <c r="AG165">
        <v>0.3881</v>
      </c>
      <c r="AH165">
        <v>172</v>
      </c>
      <c r="AJ165">
        <v>16.59</v>
      </c>
      <c r="AK165">
        <v>67</v>
      </c>
      <c r="AL165">
        <v>17.96</v>
      </c>
      <c r="AM165">
        <v>286</v>
      </c>
      <c r="AN165">
        <v>16.68</v>
      </c>
      <c r="AO165">
        <v>2</v>
      </c>
      <c r="AP165">
        <v>18.260000000000002</v>
      </c>
      <c r="AQ165">
        <v>5</v>
      </c>
    </row>
    <row r="166" spans="1:43" x14ac:dyDescent="0.2">
      <c r="A166" t="s">
        <v>1782</v>
      </c>
      <c r="B166">
        <v>2026</v>
      </c>
      <c r="C166" t="s">
        <v>587</v>
      </c>
      <c r="D166">
        <v>0</v>
      </c>
      <c r="E166" t="s">
        <v>940</v>
      </c>
      <c r="F166" t="s">
        <v>1947</v>
      </c>
      <c r="G166">
        <v>16</v>
      </c>
      <c r="H166">
        <v>16</v>
      </c>
      <c r="I166">
        <v>0.47849999999999998</v>
      </c>
      <c r="J166">
        <v>165</v>
      </c>
      <c r="K166">
        <v>0.51229999999999998</v>
      </c>
      <c r="L166">
        <v>166</v>
      </c>
      <c r="M166">
        <v>111.827</v>
      </c>
      <c r="N166">
        <v>126</v>
      </c>
      <c r="O166">
        <v>111.261</v>
      </c>
      <c r="P166">
        <v>118</v>
      </c>
      <c r="Q166">
        <v>111.349</v>
      </c>
      <c r="R166">
        <v>215</v>
      </c>
      <c r="S166">
        <v>108.637</v>
      </c>
      <c r="T166">
        <v>183</v>
      </c>
      <c r="U166">
        <v>65.412499999999994</v>
      </c>
      <c r="V166">
        <v>320</v>
      </c>
      <c r="W166">
        <v>64.9345</v>
      </c>
      <c r="X166">
        <v>309</v>
      </c>
      <c r="Y166">
        <v>-7.2900000000000006E-2</v>
      </c>
      <c r="Z166">
        <v>336</v>
      </c>
      <c r="AA166">
        <v>-1.5859000000000001</v>
      </c>
      <c r="AB166">
        <v>189</v>
      </c>
      <c r="AC166">
        <v>107.664</v>
      </c>
      <c r="AD166">
        <v>252</v>
      </c>
      <c r="AE166">
        <v>109.249</v>
      </c>
      <c r="AF166">
        <v>161</v>
      </c>
      <c r="AG166">
        <v>-3.1585000000000001</v>
      </c>
      <c r="AH166">
        <v>270</v>
      </c>
      <c r="AJ166">
        <v>18.940000000000001</v>
      </c>
      <c r="AK166">
        <v>326</v>
      </c>
      <c r="AL166">
        <v>17.84</v>
      </c>
      <c r="AM166">
        <v>255</v>
      </c>
      <c r="AN166">
        <v>19.440000000000001</v>
      </c>
      <c r="AO166">
        <v>13</v>
      </c>
      <c r="AP166">
        <v>17.579999999999998</v>
      </c>
      <c r="AQ166">
        <v>9</v>
      </c>
    </row>
    <row r="167" spans="1:43" x14ac:dyDescent="0.2">
      <c r="A167" t="s">
        <v>1782</v>
      </c>
      <c r="B167">
        <v>2026</v>
      </c>
      <c r="C167" t="s">
        <v>189</v>
      </c>
      <c r="D167">
        <v>0</v>
      </c>
      <c r="E167" t="s">
        <v>926</v>
      </c>
      <c r="F167" t="s">
        <v>1948</v>
      </c>
      <c r="G167">
        <v>17</v>
      </c>
      <c r="H167">
        <v>15</v>
      </c>
      <c r="I167">
        <v>0.46539999999999998</v>
      </c>
      <c r="J167">
        <v>166</v>
      </c>
      <c r="K167">
        <v>0.51280000000000003</v>
      </c>
      <c r="L167">
        <v>165</v>
      </c>
      <c r="M167">
        <v>104.721</v>
      </c>
      <c r="N167">
        <v>261</v>
      </c>
      <c r="O167">
        <v>104.196</v>
      </c>
      <c r="P167">
        <v>267</v>
      </c>
      <c r="Q167">
        <v>104.256</v>
      </c>
      <c r="R167">
        <v>77</v>
      </c>
      <c r="S167">
        <v>102.38500000000001</v>
      </c>
      <c r="T167">
        <v>51</v>
      </c>
      <c r="U167">
        <v>64.5411</v>
      </c>
      <c r="V167">
        <v>341</v>
      </c>
      <c r="W167">
        <v>64.357500000000002</v>
      </c>
      <c r="X167">
        <v>331</v>
      </c>
      <c r="Y167">
        <v>-5.57E-2</v>
      </c>
      <c r="Z167">
        <v>317</v>
      </c>
      <c r="AA167">
        <v>-2.1913999999999998</v>
      </c>
      <c r="AB167">
        <v>209</v>
      </c>
      <c r="AC167">
        <v>108.04</v>
      </c>
      <c r="AD167">
        <v>232</v>
      </c>
      <c r="AE167">
        <v>110.23099999999999</v>
      </c>
      <c r="AF167">
        <v>194</v>
      </c>
      <c r="AG167">
        <v>-16.148199999999999</v>
      </c>
      <c r="AH167">
        <v>365</v>
      </c>
      <c r="AJ167">
        <v>19.510000000000002</v>
      </c>
      <c r="AK167">
        <v>355</v>
      </c>
      <c r="AL167">
        <v>17.39</v>
      </c>
      <c r="AM167">
        <v>148</v>
      </c>
      <c r="AN167">
        <v>20.07</v>
      </c>
      <c r="AO167">
        <v>14</v>
      </c>
      <c r="AP167">
        <v>16.96</v>
      </c>
      <c r="AQ167">
        <v>1</v>
      </c>
    </row>
    <row r="168" spans="1:43" x14ac:dyDescent="0.2">
      <c r="A168" t="s">
        <v>1782</v>
      </c>
      <c r="B168">
        <v>2026</v>
      </c>
      <c r="C168" t="s">
        <v>157</v>
      </c>
      <c r="D168">
        <v>0</v>
      </c>
      <c r="E168" t="s">
        <v>1071</v>
      </c>
      <c r="F168" t="s">
        <v>1949</v>
      </c>
      <c r="G168">
        <v>23</v>
      </c>
      <c r="H168">
        <v>11</v>
      </c>
      <c r="I168">
        <v>0.4516</v>
      </c>
      <c r="J168">
        <v>167</v>
      </c>
      <c r="K168">
        <v>0.51180000000000003</v>
      </c>
      <c r="L168">
        <v>167</v>
      </c>
      <c r="M168">
        <v>109.815</v>
      </c>
      <c r="N168">
        <v>159</v>
      </c>
      <c r="O168">
        <v>114.69799999999999</v>
      </c>
      <c r="P168">
        <v>65</v>
      </c>
      <c r="Q168">
        <v>109.364</v>
      </c>
      <c r="R168">
        <v>174</v>
      </c>
      <c r="S168">
        <v>104.953</v>
      </c>
      <c r="T168">
        <v>91</v>
      </c>
      <c r="U168">
        <v>66.523399999999995</v>
      </c>
      <c r="V168">
        <v>273</v>
      </c>
      <c r="W168">
        <v>66.062399999999997</v>
      </c>
      <c r="X168">
        <v>252</v>
      </c>
      <c r="Y168">
        <v>-2.07E-2</v>
      </c>
      <c r="Z168">
        <v>243</v>
      </c>
      <c r="AA168">
        <v>-8.0304000000000002</v>
      </c>
      <c r="AB168">
        <v>319</v>
      </c>
      <c r="AC168">
        <v>106.837</v>
      </c>
      <c r="AD168">
        <v>276</v>
      </c>
      <c r="AE168">
        <v>114.867</v>
      </c>
      <c r="AF168">
        <v>359</v>
      </c>
      <c r="AG168">
        <v>-4.2873000000000001</v>
      </c>
      <c r="AH168">
        <v>291</v>
      </c>
      <c r="AJ168">
        <v>18.25</v>
      </c>
      <c r="AK168">
        <v>261</v>
      </c>
      <c r="AL168">
        <v>17.78</v>
      </c>
      <c r="AM168">
        <v>245</v>
      </c>
      <c r="AN168">
        <v>18.440000000000001</v>
      </c>
      <c r="AO168">
        <v>8</v>
      </c>
      <c r="AP168">
        <v>17.809999999999999</v>
      </c>
      <c r="AQ168">
        <v>7</v>
      </c>
    </row>
    <row r="169" spans="1:43" x14ac:dyDescent="0.2">
      <c r="A169" t="s">
        <v>1782</v>
      </c>
      <c r="B169">
        <v>2026</v>
      </c>
      <c r="C169" t="s">
        <v>437</v>
      </c>
      <c r="D169">
        <v>0</v>
      </c>
      <c r="E169" t="s">
        <v>1040</v>
      </c>
      <c r="F169" t="s">
        <v>1950</v>
      </c>
      <c r="G169">
        <v>16</v>
      </c>
      <c r="H169">
        <v>16</v>
      </c>
      <c r="I169">
        <v>0.1701</v>
      </c>
      <c r="J169">
        <v>168</v>
      </c>
      <c r="K169">
        <v>0.50419999999999998</v>
      </c>
      <c r="L169">
        <v>168</v>
      </c>
      <c r="M169">
        <v>115.38</v>
      </c>
      <c r="N169">
        <v>82</v>
      </c>
      <c r="O169">
        <v>114.63800000000001</v>
      </c>
      <c r="P169">
        <v>67</v>
      </c>
      <c r="Q169">
        <v>115.21</v>
      </c>
      <c r="R169">
        <v>295</v>
      </c>
      <c r="S169">
        <v>116.46299999999999</v>
      </c>
      <c r="T169">
        <v>339</v>
      </c>
      <c r="U169">
        <v>71.114900000000006</v>
      </c>
      <c r="V169">
        <v>50</v>
      </c>
      <c r="W169">
        <v>69.819500000000005</v>
      </c>
      <c r="X169">
        <v>56</v>
      </c>
      <c r="Y169">
        <v>1.6E-2</v>
      </c>
      <c r="Z169">
        <v>139</v>
      </c>
      <c r="AA169">
        <v>-0.16589999999999999</v>
      </c>
      <c r="AB169">
        <v>154</v>
      </c>
      <c r="AC169">
        <v>110.515</v>
      </c>
      <c r="AD169">
        <v>111</v>
      </c>
      <c r="AE169">
        <v>110.681</v>
      </c>
      <c r="AF169">
        <v>210</v>
      </c>
      <c r="AG169">
        <v>17.1799</v>
      </c>
      <c r="AH169">
        <v>1</v>
      </c>
      <c r="AJ169">
        <v>17</v>
      </c>
      <c r="AK169">
        <v>105</v>
      </c>
      <c r="AL169">
        <v>16.86</v>
      </c>
      <c r="AM169">
        <v>38</v>
      </c>
      <c r="AN169">
        <v>16.850000000000001</v>
      </c>
      <c r="AO169">
        <v>4</v>
      </c>
      <c r="AP169">
        <v>17.3</v>
      </c>
      <c r="AQ169">
        <v>6</v>
      </c>
    </row>
    <row r="170" spans="1:43" x14ac:dyDescent="0.2">
      <c r="A170" t="s">
        <v>1782</v>
      </c>
      <c r="B170">
        <v>2026</v>
      </c>
      <c r="C170" t="s">
        <v>83</v>
      </c>
      <c r="D170">
        <v>0</v>
      </c>
      <c r="E170" t="s">
        <v>1001</v>
      </c>
      <c r="F170" t="s">
        <v>1951</v>
      </c>
      <c r="G170">
        <v>20</v>
      </c>
      <c r="H170">
        <v>13</v>
      </c>
      <c r="I170">
        <v>0.12</v>
      </c>
      <c r="J170">
        <v>169</v>
      </c>
      <c r="K170">
        <v>0.50319999999999998</v>
      </c>
      <c r="L170">
        <v>169</v>
      </c>
      <c r="M170">
        <v>108.608</v>
      </c>
      <c r="N170">
        <v>182</v>
      </c>
      <c r="O170">
        <v>106.619</v>
      </c>
      <c r="P170">
        <v>216</v>
      </c>
      <c r="Q170">
        <v>108.488</v>
      </c>
      <c r="R170">
        <v>152</v>
      </c>
      <c r="S170">
        <v>106.711</v>
      </c>
      <c r="T170">
        <v>131</v>
      </c>
      <c r="U170">
        <v>75.481899999999996</v>
      </c>
      <c r="V170">
        <v>3</v>
      </c>
      <c r="W170">
        <v>73.713399999999993</v>
      </c>
      <c r="X170">
        <v>2</v>
      </c>
      <c r="Y170">
        <v>8.2500000000000004E-2</v>
      </c>
      <c r="Z170">
        <v>24</v>
      </c>
      <c r="AA170">
        <v>-0.2198</v>
      </c>
      <c r="AB170">
        <v>158</v>
      </c>
      <c r="AC170">
        <v>108.23</v>
      </c>
      <c r="AD170">
        <v>220</v>
      </c>
      <c r="AE170">
        <v>108.45</v>
      </c>
      <c r="AF170">
        <v>133</v>
      </c>
      <c r="AG170">
        <v>1.0911999999999999</v>
      </c>
      <c r="AH170">
        <v>149</v>
      </c>
      <c r="AJ170">
        <v>15.25</v>
      </c>
      <c r="AK170">
        <v>6</v>
      </c>
      <c r="AL170">
        <v>16.739999999999998</v>
      </c>
      <c r="AM170">
        <v>32</v>
      </c>
      <c r="AN170">
        <v>15.24</v>
      </c>
      <c r="AO170">
        <v>3</v>
      </c>
      <c r="AP170">
        <v>16.43</v>
      </c>
      <c r="AQ170">
        <v>5</v>
      </c>
    </row>
    <row r="171" spans="1:43" x14ac:dyDescent="0.2">
      <c r="A171" t="s">
        <v>1782</v>
      </c>
      <c r="B171">
        <v>2026</v>
      </c>
      <c r="C171" t="s">
        <v>167</v>
      </c>
      <c r="D171">
        <v>0</v>
      </c>
      <c r="E171" t="s">
        <v>1031</v>
      </c>
      <c r="F171" t="s">
        <v>1952</v>
      </c>
      <c r="G171">
        <v>14</v>
      </c>
      <c r="H171">
        <v>19</v>
      </c>
      <c r="I171">
        <v>1E-4</v>
      </c>
      <c r="J171">
        <v>170</v>
      </c>
      <c r="K171">
        <v>0.5</v>
      </c>
      <c r="L171">
        <v>170</v>
      </c>
      <c r="M171">
        <v>113.229</v>
      </c>
      <c r="N171">
        <v>106</v>
      </c>
      <c r="O171">
        <v>111.956</v>
      </c>
      <c r="P171">
        <v>106</v>
      </c>
      <c r="Q171">
        <v>113.229</v>
      </c>
      <c r="R171">
        <v>255</v>
      </c>
      <c r="S171">
        <v>113.66500000000001</v>
      </c>
      <c r="T171">
        <v>305</v>
      </c>
      <c r="U171">
        <v>68.930499999999995</v>
      </c>
      <c r="V171">
        <v>156</v>
      </c>
      <c r="W171">
        <v>67.697299999999998</v>
      </c>
      <c r="X171">
        <v>160</v>
      </c>
      <c r="Y171">
        <v>-6.0600000000000001E-2</v>
      </c>
      <c r="Z171">
        <v>324</v>
      </c>
      <c r="AA171">
        <v>0.82010000000000005</v>
      </c>
      <c r="AB171">
        <v>129</v>
      </c>
      <c r="AC171">
        <v>110.191</v>
      </c>
      <c r="AD171">
        <v>118</v>
      </c>
      <c r="AE171">
        <v>109.371</v>
      </c>
      <c r="AF171">
        <v>164</v>
      </c>
      <c r="AG171">
        <v>7.4390999999999998</v>
      </c>
      <c r="AH171">
        <v>40</v>
      </c>
      <c r="AJ171">
        <v>17.22</v>
      </c>
      <c r="AK171">
        <v>137</v>
      </c>
      <c r="AL171">
        <v>17.649999999999999</v>
      </c>
      <c r="AM171">
        <v>210</v>
      </c>
      <c r="AN171">
        <v>17.38</v>
      </c>
      <c r="AO171">
        <v>6</v>
      </c>
      <c r="AP171">
        <v>18.309999999999999</v>
      </c>
      <c r="AQ171">
        <v>10</v>
      </c>
    </row>
    <row r="172" spans="1:43" x14ac:dyDescent="0.2">
      <c r="A172" t="s">
        <v>1782</v>
      </c>
      <c r="B172">
        <v>2026</v>
      </c>
      <c r="C172" t="s">
        <v>705</v>
      </c>
      <c r="D172">
        <v>0</v>
      </c>
      <c r="E172" t="s">
        <v>1003</v>
      </c>
      <c r="F172" t="s">
        <v>1953</v>
      </c>
      <c r="G172">
        <v>18</v>
      </c>
      <c r="H172">
        <v>14</v>
      </c>
      <c r="I172">
        <v>-5.8500000000000003E-2</v>
      </c>
      <c r="J172">
        <v>171</v>
      </c>
      <c r="K172">
        <v>0.4985</v>
      </c>
      <c r="L172">
        <v>171</v>
      </c>
      <c r="M172">
        <v>108.614</v>
      </c>
      <c r="N172">
        <v>181</v>
      </c>
      <c r="O172">
        <v>108.932</v>
      </c>
      <c r="P172">
        <v>165</v>
      </c>
      <c r="Q172">
        <v>108.673</v>
      </c>
      <c r="R172">
        <v>157</v>
      </c>
      <c r="S172">
        <v>107.749</v>
      </c>
      <c r="T172">
        <v>160</v>
      </c>
      <c r="U172">
        <v>70.926699999999997</v>
      </c>
      <c r="V172">
        <v>58</v>
      </c>
      <c r="W172">
        <v>69.8245</v>
      </c>
      <c r="X172">
        <v>54</v>
      </c>
      <c r="Y172">
        <v>8.0999999999999996E-3</v>
      </c>
      <c r="Z172">
        <v>171</v>
      </c>
      <c r="AA172">
        <v>-0.92379999999999995</v>
      </c>
      <c r="AB172">
        <v>168</v>
      </c>
      <c r="AC172">
        <v>109.724</v>
      </c>
      <c r="AD172">
        <v>136</v>
      </c>
      <c r="AE172">
        <v>110.648</v>
      </c>
      <c r="AF172">
        <v>209</v>
      </c>
      <c r="AG172">
        <v>1.3087</v>
      </c>
      <c r="AH172">
        <v>140</v>
      </c>
      <c r="AJ172">
        <v>16.71</v>
      </c>
      <c r="AK172">
        <v>77</v>
      </c>
      <c r="AL172">
        <v>17.09</v>
      </c>
      <c r="AM172">
        <v>80</v>
      </c>
      <c r="AN172">
        <v>17.13</v>
      </c>
      <c r="AO172">
        <v>4</v>
      </c>
      <c r="AP172">
        <v>17.48</v>
      </c>
      <c r="AQ172">
        <v>3</v>
      </c>
    </row>
    <row r="173" spans="1:43" x14ac:dyDescent="0.2">
      <c r="A173" t="s">
        <v>1782</v>
      </c>
      <c r="B173">
        <v>2026</v>
      </c>
      <c r="C173" t="s">
        <v>97</v>
      </c>
      <c r="D173">
        <v>0</v>
      </c>
      <c r="E173" t="s">
        <v>980</v>
      </c>
      <c r="F173" t="s">
        <v>1954</v>
      </c>
      <c r="G173">
        <v>21</v>
      </c>
      <c r="H173">
        <v>11</v>
      </c>
      <c r="I173">
        <v>-0.22040000000000001</v>
      </c>
      <c r="J173">
        <v>172</v>
      </c>
      <c r="K173">
        <v>0.49419999999999997</v>
      </c>
      <c r="L173">
        <v>172</v>
      </c>
      <c r="M173">
        <v>108.16800000000001</v>
      </c>
      <c r="N173">
        <v>187</v>
      </c>
      <c r="O173">
        <v>109.235</v>
      </c>
      <c r="P173">
        <v>154</v>
      </c>
      <c r="Q173">
        <v>108.38800000000001</v>
      </c>
      <c r="R173">
        <v>150</v>
      </c>
      <c r="S173">
        <v>107.373</v>
      </c>
      <c r="T173">
        <v>143</v>
      </c>
      <c r="U173">
        <v>68.279600000000002</v>
      </c>
      <c r="V173">
        <v>189</v>
      </c>
      <c r="W173">
        <v>67.648700000000005</v>
      </c>
      <c r="X173">
        <v>165</v>
      </c>
      <c r="Y173">
        <v>0.1048</v>
      </c>
      <c r="Z173">
        <v>11</v>
      </c>
      <c r="AA173">
        <v>-2.1282000000000001</v>
      </c>
      <c r="AB173">
        <v>207</v>
      </c>
      <c r="AC173">
        <v>109.084</v>
      </c>
      <c r="AD173">
        <v>169</v>
      </c>
      <c r="AE173">
        <v>111.21299999999999</v>
      </c>
      <c r="AF173">
        <v>230</v>
      </c>
      <c r="AG173">
        <v>-1.6154999999999999</v>
      </c>
      <c r="AH173">
        <v>228</v>
      </c>
      <c r="AJ173">
        <v>17.45</v>
      </c>
      <c r="AK173">
        <v>166</v>
      </c>
      <c r="AL173">
        <v>17.68</v>
      </c>
      <c r="AM173">
        <v>223</v>
      </c>
      <c r="AN173">
        <v>17.37</v>
      </c>
      <c r="AO173">
        <v>3</v>
      </c>
      <c r="AP173">
        <v>17.61</v>
      </c>
      <c r="AQ173">
        <v>7</v>
      </c>
    </row>
    <row r="174" spans="1:43" x14ac:dyDescent="0.2">
      <c r="A174" t="s">
        <v>1782</v>
      </c>
      <c r="B174">
        <v>2026</v>
      </c>
      <c r="C174" t="s">
        <v>599</v>
      </c>
      <c r="D174">
        <v>0</v>
      </c>
      <c r="E174" t="s">
        <v>956</v>
      </c>
      <c r="F174" t="s">
        <v>1955</v>
      </c>
      <c r="G174">
        <v>18</v>
      </c>
      <c r="H174">
        <v>15</v>
      </c>
      <c r="I174">
        <v>-0.25030000000000002</v>
      </c>
      <c r="J174">
        <v>173</v>
      </c>
      <c r="K174">
        <v>0.49320000000000003</v>
      </c>
      <c r="L174">
        <v>173</v>
      </c>
      <c r="M174">
        <v>104.98399999999999</v>
      </c>
      <c r="N174">
        <v>256</v>
      </c>
      <c r="O174">
        <v>102.839</v>
      </c>
      <c r="P174">
        <v>293</v>
      </c>
      <c r="Q174">
        <v>105.23399999999999</v>
      </c>
      <c r="R174">
        <v>95</v>
      </c>
      <c r="S174">
        <v>103.744</v>
      </c>
      <c r="T174">
        <v>72</v>
      </c>
      <c r="U174">
        <v>66.551699999999997</v>
      </c>
      <c r="V174">
        <v>270</v>
      </c>
      <c r="W174">
        <v>66.026600000000002</v>
      </c>
      <c r="X174">
        <v>254</v>
      </c>
      <c r="Y174">
        <v>2.5999999999999999E-3</v>
      </c>
      <c r="Z174">
        <v>185</v>
      </c>
      <c r="AA174">
        <v>-0.113</v>
      </c>
      <c r="AB174">
        <v>151</v>
      </c>
      <c r="AC174">
        <v>108.89100000000001</v>
      </c>
      <c r="AD174">
        <v>175</v>
      </c>
      <c r="AE174">
        <v>109.004</v>
      </c>
      <c r="AF174">
        <v>150</v>
      </c>
      <c r="AG174">
        <v>16.7227</v>
      </c>
      <c r="AH174">
        <v>2</v>
      </c>
      <c r="AJ174">
        <v>18.38</v>
      </c>
      <c r="AK174">
        <v>274</v>
      </c>
      <c r="AL174">
        <v>17.29</v>
      </c>
      <c r="AM174">
        <v>123</v>
      </c>
      <c r="AN174">
        <v>18.440000000000001</v>
      </c>
      <c r="AO174">
        <v>9</v>
      </c>
      <c r="AP174">
        <v>17.59</v>
      </c>
      <c r="AQ174">
        <v>3</v>
      </c>
    </row>
    <row r="175" spans="1:43" x14ac:dyDescent="0.2">
      <c r="A175" t="s">
        <v>1782</v>
      </c>
      <c r="B175">
        <v>2026</v>
      </c>
      <c r="C175" t="s">
        <v>39</v>
      </c>
      <c r="D175">
        <v>0</v>
      </c>
      <c r="E175" t="s">
        <v>1055</v>
      </c>
      <c r="F175" t="s">
        <v>1956</v>
      </c>
      <c r="G175">
        <v>22</v>
      </c>
      <c r="H175">
        <v>9</v>
      </c>
      <c r="I175">
        <v>-0.2843</v>
      </c>
      <c r="J175">
        <v>174</v>
      </c>
      <c r="K175">
        <v>0.49249999999999999</v>
      </c>
      <c r="L175">
        <v>174</v>
      </c>
      <c r="M175">
        <v>108.148</v>
      </c>
      <c r="N175">
        <v>189</v>
      </c>
      <c r="O175">
        <v>113.065</v>
      </c>
      <c r="P175">
        <v>90</v>
      </c>
      <c r="Q175">
        <v>108.432</v>
      </c>
      <c r="R175">
        <v>151</v>
      </c>
      <c r="S175">
        <v>106.149</v>
      </c>
      <c r="T175">
        <v>114</v>
      </c>
      <c r="U175">
        <v>70.119799999999998</v>
      </c>
      <c r="V175">
        <v>89</v>
      </c>
      <c r="W175">
        <v>69.406700000000001</v>
      </c>
      <c r="X175">
        <v>74</v>
      </c>
      <c r="Y175">
        <v>3.32E-2</v>
      </c>
      <c r="Z175">
        <v>104</v>
      </c>
      <c r="AA175">
        <v>-6.6279000000000003</v>
      </c>
      <c r="AB175">
        <v>294</v>
      </c>
      <c r="AC175">
        <v>108.517</v>
      </c>
      <c r="AD175">
        <v>198</v>
      </c>
      <c r="AE175">
        <v>115.145</v>
      </c>
      <c r="AF175">
        <v>361</v>
      </c>
      <c r="AG175">
        <v>2.0853000000000002</v>
      </c>
      <c r="AH175">
        <v>122</v>
      </c>
      <c r="AJ175">
        <v>16.54</v>
      </c>
      <c r="AK175">
        <v>61</v>
      </c>
      <c r="AL175">
        <v>17.559999999999999</v>
      </c>
      <c r="AM175">
        <v>186</v>
      </c>
      <c r="AN175">
        <v>16.02</v>
      </c>
      <c r="AO175">
        <v>2</v>
      </c>
      <c r="AP175">
        <v>17.97</v>
      </c>
      <c r="AQ175">
        <v>9</v>
      </c>
    </row>
    <row r="176" spans="1:43" x14ac:dyDescent="0.2">
      <c r="A176" t="s">
        <v>1782</v>
      </c>
      <c r="B176">
        <v>2026</v>
      </c>
      <c r="C176" t="s">
        <v>275</v>
      </c>
      <c r="D176">
        <v>0</v>
      </c>
      <c r="E176" t="s">
        <v>1003</v>
      </c>
      <c r="F176" t="s">
        <v>1957</v>
      </c>
      <c r="G176">
        <v>19</v>
      </c>
      <c r="H176">
        <v>13</v>
      </c>
      <c r="I176">
        <v>-0.46450000000000002</v>
      </c>
      <c r="J176">
        <v>175</v>
      </c>
      <c r="K176">
        <v>0.4879</v>
      </c>
      <c r="L176">
        <v>175</v>
      </c>
      <c r="M176">
        <v>110.56699999999999</v>
      </c>
      <c r="N176">
        <v>148</v>
      </c>
      <c r="O176">
        <v>110.911</v>
      </c>
      <c r="P176">
        <v>126</v>
      </c>
      <c r="Q176">
        <v>111.03100000000001</v>
      </c>
      <c r="R176">
        <v>210</v>
      </c>
      <c r="S176">
        <v>108.804</v>
      </c>
      <c r="T176">
        <v>188</v>
      </c>
      <c r="U176">
        <v>72.199299999999994</v>
      </c>
      <c r="V176">
        <v>25</v>
      </c>
      <c r="W176">
        <v>71.489699999999999</v>
      </c>
      <c r="X176">
        <v>19</v>
      </c>
      <c r="Y176">
        <v>-1.8E-3</v>
      </c>
      <c r="Z176">
        <v>196</v>
      </c>
      <c r="AA176">
        <v>-2.4975000000000001</v>
      </c>
      <c r="AB176">
        <v>215</v>
      </c>
      <c r="AC176">
        <v>108.125</v>
      </c>
      <c r="AD176">
        <v>226</v>
      </c>
      <c r="AE176">
        <v>110.622</v>
      </c>
      <c r="AF176">
        <v>207</v>
      </c>
      <c r="AG176">
        <v>-5.3304999999999998</v>
      </c>
      <c r="AH176">
        <v>305</v>
      </c>
      <c r="AJ176">
        <v>15.99</v>
      </c>
      <c r="AK176">
        <v>30</v>
      </c>
      <c r="AL176">
        <v>17.329999999999998</v>
      </c>
      <c r="AM176">
        <v>134</v>
      </c>
      <c r="AN176">
        <v>16.54</v>
      </c>
      <c r="AO176">
        <v>2</v>
      </c>
      <c r="AP176">
        <v>17.95</v>
      </c>
      <c r="AQ176">
        <v>8</v>
      </c>
    </row>
    <row r="177" spans="1:43" x14ac:dyDescent="0.2">
      <c r="A177" t="s">
        <v>1782</v>
      </c>
      <c r="B177">
        <v>2026</v>
      </c>
      <c r="C177" t="s">
        <v>429</v>
      </c>
      <c r="D177">
        <v>0</v>
      </c>
      <c r="E177" t="s">
        <v>1040</v>
      </c>
      <c r="F177" t="s">
        <v>1958</v>
      </c>
      <c r="G177">
        <v>20</v>
      </c>
      <c r="H177">
        <v>14</v>
      </c>
      <c r="I177">
        <v>-0.59950000000000003</v>
      </c>
      <c r="J177">
        <v>176</v>
      </c>
      <c r="K177">
        <v>0.48430000000000001</v>
      </c>
      <c r="L177">
        <v>176</v>
      </c>
      <c r="M177">
        <v>109.70699999999999</v>
      </c>
      <c r="N177">
        <v>162</v>
      </c>
      <c r="O177">
        <v>113.58799999999999</v>
      </c>
      <c r="P177">
        <v>80</v>
      </c>
      <c r="Q177">
        <v>110.307</v>
      </c>
      <c r="R177">
        <v>195</v>
      </c>
      <c r="S177">
        <v>110.21</v>
      </c>
      <c r="T177">
        <v>226</v>
      </c>
      <c r="U177">
        <v>70.882800000000003</v>
      </c>
      <c r="V177">
        <v>61</v>
      </c>
      <c r="W177">
        <v>70.216700000000003</v>
      </c>
      <c r="X177">
        <v>38</v>
      </c>
      <c r="Y177">
        <v>-2.1899999999999999E-2</v>
      </c>
      <c r="Z177">
        <v>245</v>
      </c>
      <c r="AA177">
        <v>-4.4287999999999998</v>
      </c>
      <c r="AB177">
        <v>254</v>
      </c>
      <c r="AC177">
        <v>110.048</v>
      </c>
      <c r="AD177">
        <v>123</v>
      </c>
      <c r="AE177">
        <v>114.476</v>
      </c>
      <c r="AF177">
        <v>355</v>
      </c>
      <c r="AG177">
        <v>-4.2080000000000002</v>
      </c>
      <c r="AH177">
        <v>289</v>
      </c>
      <c r="AJ177">
        <v>15.84</v>
      </c>
      <c r="AK177">
        <v>22</v>
      </c>
      <c r="AL177">
        <v>18.23</v>
      </c>
      <c r="AM177">
        <v>327</v>
      </c>
      <c r="AN177">
        <v>15.84</v>
      </c>
      <c r="AO177">
        <v>1</v>
      </c>
      <c r="AP177">
        <v>18.22</v>
      </c>
      <c r="AQ177">
        <v>10</v>
      </c>
    </row>
    <row r="178" spans="1:43" x14ac:dyDescent="0.2">
      <c r="A178" t="s">
        <v>1782</v>
      </c>
      <c r="B178">
        <v>2026</v>
      </c>
      <c r="C178" t="s">
        <v>455</v>
      </c>
      <c r="D178">
        <v>0</v>
      </c>
      <c r="E178" t="s">
        <v>896</v>
      </c>
      <c r="F178" t="s">
        <v>1959</v>
      </c>
      <c r="G178">
        <v>17</v>
      </c>
      <c r="H178">
        <v>16</v>
      </c>
      <c r="I178">
        <v>-0.60299999999999998</v>
      </c>
      <c r="J178">
        <v>177</v>
      </c>
      <c r="K178">
        <v>0.48420000000000002</v>
      </c>
      <c r="L178">
        <v>177</v>
      </c>
      <c r="M178">
        <v>109.319</v>
      </c>
      <c r="N178">
        <v>170</v>
      </c>
      <c r="O178">
        <v>105.88500000000001</v>
      </c>
      <c r="P178">
        <v>232</v>
      </c>
      <c r="Q178">
        <v>109.922</v>
      </c>
      <c r="R178">
        <v>190</v>
      </c>
      <c r="S178">
        <v>110.622</v>
      </c>
      <c r="T178">
        <v>233</v>
      </c>
      <c r="U178">
        <v>66.187899999999999</v>
      </c>
      <c r="V178">
        <v>290</v>
      </c>
      <c r="W178">
        <v>65.134200000000007</v>
      </c>
      <c r="X178">
        <v>300</v>
      </c>
      <c r="Y178">
        <v>9.69E-2</v>
      </c>
      <c r="Z178">
        <v>18</v>
      </c>
      <c r="AA178">
        <v>3.1204000000000001</v>
      </c>
      <c r="AB178">
        <v>102</v>
      </c>
      <c r="AC178">
        <v>110.432</v>
      </c>
      <c r="AD178">
        <v>112</v>
      </c>
      <c r="AE178">
        <v>107.31100000000001</v>
      </c>
      <c r="AF178">
        <v>99</v>
      </c>
      <c r="AG178">
        <v>-1.663</v>
      </c>
      <c r="AH178">
        <v>230</v>
      </c>
      <c r="AJ178">
        <v>18.54</v>
      </c>
      <c r="AK178">
        <v>296</v>
      </c>
      <c r="AL178">
        <v>17.62</v>
      </c>
      <c r="AM178">
        <v>206</v>
      </c>
      <c r="AN178">
        <v>18.54</v>
      </c>
      <c r="AO178">
        <v>9</v>
      </c>
      <c r="AP178">
        <v>17.899999999999999</v>
      </c>
      <c r="AQ178">
        <v>9</v>
      </c>
    </row>
    <row r="179" spans="1:43" x14ac:dyDescent="0.2">
      <c r="A179" t="s">
        <v>1782</v>
      </c>
      <c r="B179">
        <v>2026</v>
      </c>
      <c r="C179" t="s">
        <v>353</v>
      </c>
      <c r="D179">
        <v>0</v>
      </c>
      <c r="E179" t="s">
        <v>1003</v>
      </c>
      <c r="F179" t="s">
        <v>1960</v>
      </c>
      <c r="G179">
        <v>17</v>
      </c>
      <c r="H179">
        <v>15</v>
      </c>
      <c r="I179">
        <v>-0.63229999999999997</v>
      </c>
      <c r="J179">
        <v>178</v>
      </c>
      <c r="K179">
        <v>0.4834</v>
      </c>
      <c r="L179">
        <v>178</v>
      </c>
      <c r="M179">
        <v>109.374</v>
      </c>
      <c r="N179">
        <v>168</v>
      </c>
      <c r="O179">
        <v>107.85599999999999</v>
      </c>
      <c r="P179">
        <v>190</v>
      </c>
      <c r="Q179">
        <v>110.00700000000001</v>
      </c>
      <c r="R179">
        <v>192</v>
      </c>
      <c r="S179">
        <v>109.261</v>
      </c>
      <c r="T179">
        <v>204</v>
      </c>
      <c r="U179">
        <v>66.596599999999995</v>
      </c>
      <c r="V179">
        <v>265</v>
      </c>
      <c r="W179">
        <v>65.712400000000002</v>
      </c>
      <c r="X179">
        <v>271</v>
      </c>
      <c r="Y179">
        <v>1.1900000000000001E-2</v>
      </c>
      <c r="Z179">
        <v>151</v>
      </c>
      <c r="AA179">
        <v>0.80459999999999998</v>
      </c>
      <c r="AB179">
        <v>130</v>
      </c>
      <c r="AC179">
        <v>109.672</v>
      </c>
      <c r="AD179">
        <v>139</v>
      </c>
      <c r="AE179">
        <v>108.86799999999999</v>
      </c>
      <c r="AF179">
        <v>147</v>
      </c>
      <c r="AG179">
        <v>11.193199999999999</v>
      </c>
      <c r="AH179">
        <v>13</v>
      </c>
      <c r="AJ179">
        <v>18.3</v>
      </c>
      <c r="AK179">
        <v>268</v>
      </c>
      <c r="AL179">
        <v>17.829999999999998</v>
      </c>
      <c r="AM179">
        <v>252</v>
      </c>
      <c r="AN179">
        <v>18.37</v>
      </c>
      <c r="AO179">
        <v>8</v>
      </c>
      <c r="AP179">
        <v>18.2</v>
      </c>
      <c r="AQ179">
        <v>9</v>
      </c>
    </row>
    <row r="180" spans="1:43" x14ac:dyDescent="0.2">
      <c r="A180" t="s">
        <v>1782</v>
      </c>
      <c r="B180">
        <v>2026</v>
      </c>
      <c r="C180" t="s">
        <v>343</v>
      </c>
      <c r="D180">
        <v>0</v>
      </c>
      <c r="E180" t="s">
        <v>1084</v>
      </c>
      <c r="F180" t="s">
        <v>1961</v>
      </c>
      <c r="G180">
        <v>23</v>
      </c>
      <c r="H180">
        <v>11</v>
      </c>
      <c r="I180">
        <v>-0.8296</v>
      </c>
      <c r="J180">
        <v>179</v>
      </c>
      <c r="K180">
        <v>0.47770000000000001</v>
      </c>
      <c r="L180">
        <v>179</v>
      </c>
      <c r="M180">
        <v>106.681</v>
      </c>
      <c r="N180">
        <v>221</v>
      </c>
      <c r="O180">
        <v>106.59</v>
      </c>
      <c r="P180">
        <v>218</v>
      </c>
      <c r="Q180">
        <v>107.51</v>
      </c>
      <c r="R180">
        <v>136</v>
      </c>
      <c r="S180">
        <v>103.07599999999999</v>
      </c>
      <c r="T180">
        <v>64</v>
      </c>
      <c r="U180">
        <v>63.759399999999999</v>
      </c>
      <c r="V180">
        <v>359</v>
      </c>
      <c r="W180">
        <v>63.450800000000001</v>
      </c>
      <c r="X180">
        <v>348</v>
      </c>
      <c r="Y180">
        <v>0.1149</v>
      </c>
      <c r="Z180">
        <v>8</v>
      </c>
      <c r="AA180">
        <v>-5.8109000000000002</v>
      </c>
      <c r="AB180">
        <v>281</v>
      </c>
      <c r="AC180">
        <v>105.22199999999999</v>
      </c>
      <c r="AD180">
        <v>302</v>
      </c>
      <c r="AE180">
        <v>111.033</v>
      </c>
      <c r="AF180">
        <v>223</v>
      </c>
      <c r="AG180">
        <v>3.1932</v>
      </c>
      <c r="AH180">
        <v>102</v>
      </c>
      <c r="AJ180">
        <v>18.48</v>
      </c>
      <c r="AK180">
        <v>289</v>
      </c>
      <c r="AL180">
        <v>19.079999999999998</v>
      </c>
      <c r="AM180">
        <v>363</v>
      </c>
      <c r="AN180">
        <v>19.03</v>
      </c>
      <c r="AO180">
        <v>11</v>
      </c>
      <c r="AP180">
        <v>18.98</v>
      </c>
      <c r="AQ180">
        <v>13</v>
      </c>
    </row>
    <row r="181" spans="1:43" x14ac:dyDescent="0.2">
      <c r="A181" t="s">
        <v>1782</v>
      </c>
      <c r="B181">
        <v>2026</v>
      </c>
      <c r="C181" t="s">
        <v>367</v>
      </c>
      <c r="D181">
        <v>0</v>
      </c>
      <c r="E181" t="s">
        <v>980</v>
      </c>
      <c r="F181" t="s">
        <v>1962</v>
      </c>
      <c r="G181">
        <v>19</v>
      </c>
      <c r="H181">
        <v>15</v>
      </c>
      <c r="I181">
        <v>-0.91090000000000004</v>
      </c>
      <c r="J181">
        <v>180</v>
      </c>
      <c r="K181">
        <v>0.47549999999999998</v>
      </c>
      <c r="L181">
        <v>180</v>
      </c>
      <c r="M181">
        <v>106.242</v>
      </c>
      <c r="N181">
        <v>227</v>
      </c>
      <c r="O181">
        <v>105.771</v>
      </c>
      <c r="P181">
        <v>234</v>
      </c>
      <c r="Q181">
        <v>107.15300000000001</v>
      </c>
      <c r="R181">
        <v>128</v>
      </c>
      <c r="S181">
        <v>104.43899999999999</v>
      </c>
      <c r="T181">
        <v>83</v>
      </c>
      <c r="U181">
        <v>67.194900000000004</v>
      </c>
      <c r="V181">
        <v>240</v>
      </c>
      <c r="W181">
        <v>67.101200000000006</v>
      </c>
      <c r="X181">
        <v>196</v>
      </c>
      <c r="Y181">
        <v>1.32E-2</v>
      </c>
      <c r="Z181">
        <v>147</v>
      </c>
      <c r="AA181">
        <v>-2.5998999999999999</v>
      </c>
      <c r="AB181">
        <v>216</v>
      </c>
      <c r="AC181">
        <v>107.358</v>
      </c>
      <c r="AD181">
        <v>262</v>
      </c>
      <c r="AE181">
        <v>109.958</v>
      </c>
      <c r="AF181">
        <v>179</v>
      </c>
      <c r="AG181">
        <v>-3.718</v>
      </c>
      <c r="AH181">
        <v>281</v>
      </c>
      <c r="AJ181">
        <v>17.600000000000001</v>
      </c>
      <c r="AK181">
        <v>183</v>
      </c>
      <c r="AL181">
        <v>17.86</v>
      </c>
      <c r="AM181">
        <v>261</v>
      </c>
      <c r="AN181">
        <v>17.579999999999998</v>
      </c>
      <c r="AO181">
        <v>5</v>
      </c>
      <c r="AP181">
        <v>17.98</v>
      </c>
      <c r="AQ181">
        <v>10</v>
      </c>
    </row>
    <row r="182" spans="1:43" x14ac:dyDescent="0.2">
      <c r="A182" t="s">
        <v>1782</v>
      </c>
      <c r="B182">
        <v>2026</v>
      </c>
      <c r="C182" t="s">
        <v>665</v>
      </c>
      <c r="D182">
        <v>0</v>
      </c>
      <c r="E182" t="s">
        <v>983</v>
      </c>
      <c r="F182" t="s">
        <v>1963</v>
      </c>
      <c r="G182">
        <v>19</v>
      </c>
      <c r="H182">
        <v>14</v>
      </c>
      <c r="I182">
        <v>-1.472</v>
      </c>
      <c r="J182">
        <v>181</v>
      </c>
      <c r="K182">
        <v>0.4622</v>
      </c>
      <c r="L182">
        <v>182</v>
      </c>
      <c r="M182">
        <v>111.04300000000001</v>
      </c>
      <c r="N182">
        <v>139</v>
      </c>
      <c r="O182">
        <v>107.089</v>
      </c>
      <c r="P182">
        <v>208</v>
      </c>
      <c r="Q182">
        <v>112.515</v>
      </c>
      <c r="R182">
        <v>245</v>
      </c>
      <c r="S182">
        <v>109.758</v>
      </c>
      <c r="T182">
        <v>214</v>
      </c>
      <c r="U182">
        <v>68.003200000000007</v>
      </c>
      <c r="V182">
        <v>200</v>
      </c>
      <c r="W182">
        <v>66.087199999999996</v>
      </c>
      <c r="X182">
        <v>250</v>
      </c>
      <c r="Y182">
        <v>0.1026</v>
      </c>
      <c r="Z182">
        <v>14</v>
      </c>
      <c r="AA182">
        <v>0.42820000000000003</v>
      </c>
      <c r="AB182">
        <v>140</v>
      </c>
      <c r="AC182">
        <v>107.45399999999999</v>
      </c>
      <c r="AD182">
        <v>260</v>
      </c>
      <c r="AE182">
        <v>107.026</v>
      </c>
      <c r="AF182">
        <v>94</v>
      </c>
      <c r="AG182">
        <v>3.5728</v>
      </c>
      <c r="AH182">
        <v>94</v>
      </c>
      <c r="AJ182">
        <v>17.2</v>
      </c>
      <c r="AK182">
        <v>134</v>
      </c>
      <c r="AL182">
        <v>18.22</v>
      </c>
      <c r="AM182">
        <v>324</v>
      </c>
      <c r="AN182">
        <v>17.21</v>
      </c>
      <c r="AO182">
        <v>3</v>
      </c>
      <c r="AP182">
        <v>18.53</v>
      </c>
      <c r="AQ182">
        <v>7</v>
      </c>
    </row>
    <row r="183" spans="1:43" x14ac:dyDescent="0.2">
      <c r="A183" t="s">
        <v>1782</v>
      </c>
      <c r="B183">
        <v>2026</v>
      </c>
      <c r="C183" t="s">
        <v>483</v>
      </c>
      <c r="D183">
        <v>0</v>
      </c>
      <c r="E183" t="s">
        <v>1055</v>
      </c>
      <c r="F183" t="s">
        <v>1964</v>
      </c>
      <c r="G183">
        <v>21</v>
      </c>
      <c r="H183">
        <v>13</v>
      </c>
      <c r="I183">
        <v>-1.4724999999999999</v>
      </c>
      <c r="J183">
        <v>182</v>
      </c>
      <c r="K183">
        <v>0.46379999999999999</v>
      </c>
      <c r="L183">
        <v>181</v>
      </c>
      <c r="M183">
        <v>115.92</v>
      </c>
      <c r="N183">
        <v>79</v>
      </c>
      <c r="O183">
        <v>119.27800000000001</v>
      </c>
      <c r="P183">
        <v>24</v>
      </c>
      <c r="Q183">
        <v>117.393</v>
      </c>
      <c r="R183">
        <v>322</v>
      </c>
      <c r="S183">
        <v>116.77500000000001</v>
      </c>
      <c r="T183">
        <v>344</v>
      </c>
      <c r="U183">
        <v>70.719200000000001</v>
      </c>
      <c r="V183">
        <v>65</v>
      </c>
      <c r="W183">
        <v>69.628200000000007</v>
      </c>
      <c r="X183">
        <v>65</v>
      </c>
      <c r="Y183">
        <v>6.6600000000000006E-2</v>
      </c>
      <c r="Z183">
        <v>37</v>
      </c>
      <c r="AA183">
        <v>-5.7012</v>
      </c>
      <c r="AB183">
        <v>277</v>
      </c>
      <c r="AC183">
        <v>108.48</v>
      </c>
      <c r="AD183">
        <v>201</v>
      </c>
      <c r="AE183">
        <v>114.181</v>
      </c>
      <c r="AF183">
        <v>352</v>
      </c>
      <c r="AG183">
        <v>5.5820999999999996</v>
      </c>
      <c r="AH183">
        <v>59</v>
      </c>
      <c r="AJ183">
        <v>15.99</v>
      </c>
      <c r="AK183">
        <v>29</v>
      </c>
      <c r="AL183">
        <v>17.93</v>
      </c>
      <c r="AM183">
        <v>279</v>
      </c>
      <c r="AN183">
        <v>15.88</v>
      </c>
      <c r="AO183">
        <v>1</v>
      </c>
      <c r="AP183">
        <v>18.309999999999999</v>
      </c>
      <c r="AQ183">
        <v>11</v>
      </c>
    </row>
    <row r="184" spans="1:43" x14ac:dyDescent="0.2">
      <c r="A184" t="s">
        <v>1782</v>
      </c>
      <c r="B184">
        <v>2026</v>
      </c>
      <c r="C184" t="s">
        <v>87</v>
      </c>
      <c r="D184">
        <v>0</v>
      </c>
      <c r="E184" t="s">
        <v>980</v>
      </c>
      <c r="F184" t="s">
        <v>1965</v>
      </c>
      <c r="G184">
        <v>16</v>
      </c>
      <c r="H184">
        <v>18</v>
      </c>
      <c r="I184">
        <v>-1.5035000000000001</v>
      </c>
      <c r="J184">
        <v>183</v>
      </c>
      <c r="K184">
        <v>0.46150000000000002</v>
      </c>
      <c r="L184">
        <v>183</v>
      </c>
      <c r="M184">
        <v>111.327</v>
      </c>
      <c r="N184">
        <v>133</v>
      </c>
      <c r="O184">
        <v>108.471</v>
      </c>
      <c r="P184">
        <v>175</v>
      </c>
      <c r="Q184">
        <v>112.83</v>
      </c>
      <c r="R184">
        <v>251</v>
      </c>
      <c r="S184">
        <v>112.57</v>
      </c>
      <c r="T184">
        <v>280</v>
      </c>
      <c r="U184">
        <v>70.0184</v>
      </c>
      <c r="V184">
        <v>94</v>
      </c>
      <c r="W184">
        <v>69.761600000000001</v>
      </c>
      <c r="X184">
        <v>58</v>
      </c>
      <c r="Y184">
        <v>9.2999999999999992E-3</v>
      </c>
      <c r="Z184">
        <v>161</v>
      </c>
      <c r="AA184">
        <v>0.71440000000000003</v>
      </c>
      <c r="AB184">
        <v>133</v>
      </c>
      <c r="AC184">
        <v>109.328</v>
      </c>
      <c r="AD184">
        <v>152</v>
      </c>
      <c r="AE184">
        <v>108.614</v>
      </c>
      <c r="AF184">
        <v>139</v>
      </c>
      <c r="AG184">
        <v>7.5220000000000002</v>
      </c>
      <c r="AH184">
        <v>39</v>
      </c>
      <c r="AJ184">
        <v>17.09</v>
      </c>
      <c r="AK184">
        <v>119</v>
      </c>
      <c r="AL184">
        <v>17.22</v>
      </c>
      <c r="AM184">
        <v>107</v>
      </c>
      <c r="AN184">
        <v>17.52</v>
      </c>
      <c r="AO184">
        <v>4</v>
      </c>
      <c r="AP184">
        <v>17.399999999999999</v>
      </c>
      <c r="AQ184">
        <v>3</v>
      </c>
    </row>
    <row r="185" spans="1:43" x14ac:dyDescent="0.2">
      <c r="A185" t="s">
        <v>1782</v>
      </c>
      <c r="B185">
        <v>2026</v>
      </c>
      <c r="C185" t="s">
        <v>101</v>
      </c>
      <c r="D185">
        <v>0</v>
      </c>
      <c r="E185" t="s">
        <v>940</v>
      </c>
      <c r="F185" t="s">
        <v>1966</v>
      </c>
      <c r="G185">
        <v>16</v>
      </c>
      <c r="H185">
        <v>16</v>
      </c>
      <c r="I185">
        <v>-1.5474000000000001</v>
      </c>
      <c r="J185">
        <v>184</v>
      </c>
      <c r="K185">
        <v>0.46089999999999998</v>
      </c>
      <c r="L185">
        <v>184</v>
      </c>
      <c r="M185">
        <v>112.861</v>
      </c>
      <c r="N185">
        <v>109</v>
      </c>
      <c r="O185">
        <v>111.741</v>
      </c>
      <c r="P185">
        <v>109</v>
      </c>
      <c r="Q185">
        <v>114.408</v>
      </c>
      <c r="R185">
        <v>282</v>
      </c>
      <c r="S185">
        <v>112.845</v>
      </c>
      <c r="T185">
        <v>290</v>
      </c>
      <c r="U185">
        <v>64.165400000000005</v>
      </c>
      <c r="V185">
        <v>350</v>
      </c>
      <c r="W185">
        <v>63.348300000000002</v>
      </c>
      <c r="X185">
        <v>350</v>
      </c>
      <c r="Y185">
        <v>8.6E-3</v>
      </c>
      <c r="Z185">
        <v>165</v>
      </c>
      <c r="AA185">
        <v>-0.18140000000000001</v>
      </c>
      <c r="AB185">
        <v>156</v>
      </c>
      <c r="AC185">
        <v>109.217</v>
      </c>
      <c r="AD185">
        <v>158</v>
      </c>
      <c r="AE185">
        <v>109.399</v>
      </c>
      <c r="AF185">
        <v>165</v>
      </c>
      <c r="AG185">
        <v>-0.91700000000000004</v>
      </c>
      <c r="AH185">
        <v>210</v>
      </c>
      <c r="AJ185">
        <v>19.07</v>
      </c>
      <c r="AK185">
        <v>336</v>
      </c>
      <c r="AL185">
        <v>18.260000000000002</v>
      </c>
      <c r="AM185">
        <v>331</v>
      </c>
      <c r="AN185">
        <v>19.149999999999999</v>
      </c>
      <c r="AO185">
        <v>12</v>
      </c>
      <c r="AP185">
        <v>18.170000000000002</v>
      </c>
      <c r="AQ185">
        <v>12</v>
      </c>
    </row>
    <row r="186" spans="1:43" x14ac:dyDescent="0.2">
      <c r="A186" t="s">
        <v>1782</v>
      </c>
      <c r="B186">
        <v>2026</v>
      </c>
      <c r="C186" t="s">
        <v>393</v>
      </c>
      <c r="D186">
        <v>0</v>
      </c>
      <c r="E186" t="s">
        <v>1003</v>
      </c>
      <c r="F186" t="s">
        <v>1967</v>
      </c>
      <c r="G186">
        <v>16</v>
      </c>
      <c r="H186">
        <v>16</v>
      </c>
      <c r="I186">
        <v>-1.5969</v>
      </c>
      <c r="J186">
        <v>185</v>
      </c>
      <c r="K186">
        <v>0.4582</v>
      </c>
      <c r="L186">
        <v>185</v>
      </c>
      <c r="M186">
        <v>108.863</v>
      </c>
      <c r="N186">
        <v>177</v>
      </c>
      <c r="O186">
        <v>108.88800000000001</v>
      </c>
      <c r="P186">
        <v>167</v>
      </c>
      <c r="Q186">
        <v>110.46</v>
      </c>
      <c r="R186">
        <v>198</v>
      </c>
      <c r="S186">
        <v>108.476</v>
      </c>
      <c r="T186">
        <v>177</v>
      </c>
      <c r="U186">
        <v>67.264499999999998</v>
      </c>
      <c r="V186">
        <v>237</v>
      </c>
      <c r="W186">
        <v>66.9084</v>
      </c>
      <c r="X186">
        <v>205</v>
      </c>
      <c r="Y186">
        <v>-6.1199999999999997E-2</v>
      </c>
      <c r="Z186">
        <v>327</v>
      </c>
      <c r="AA186">
        <v>-1.3666</v>
      </c>
      <c r="AB186">
        <v>185</v>
      </c>
      <c r="AC186">
        <v>108.43</v>
      </c>
      <c r="AD186">
        <v>206</v>
      </c>
      <c r="AE186">
        <v>109.797</v>
      </c>
      <c r="AF186">
        <v>175</v>
      </c>
      <c r="AG186">
        <v>0.74129999999999996</v>
      </c>
      <c r="AH186">
        <v>162</v>
      </c>
      <c r="AJ186">
        <v>17.82</v>
      </c>
      <c r="AK186">
        <v>214</v>
      </c>
      <c r="AL186">
        <v>17.75</v>
      </c>
      <c r="AM186">
        <v>235</v>
      </c>
      <c r="AN186">
        <v>17.760000000000002</v>
      </c>
      <c r="AO186">
        <v>5</v>
      </c>
      <c r="AP186">
        <v>17.87</v>
      </c>
      <c r="AQ186">
        <v>6</v>
      </c>
    </row>
    <row r="187" spans="1:43" x14ac:dyDescent="0.2">
      <c r="A187" t="s">
        <v>1782</v>
      </c>
      <c r="B187">
        <v>2026</v>
      </c>
      <c r="C187" t="s">
        <v>369</v>
      </c>
      <c r="D187">
        <v>0</v>
      </c>
      <c r="E187" t="s">
        <v>1031</v>
      </c>
      <c r="F187" t="s">
        <v>1968</v>
      </c>
      <c r="G187">
        <v>18</v>
      </c>
      <c r="H187">
        <v>16</v>
      </c>
      <c r="I187">
        <v>-1.6868000000000001</v>
      </c>
      <c r="J187">
        <v>186</v>
      </c>
      <c r="K187">
        <v>0.4551</v>
      </c>
      <c r="L187">
        <v>186</v>
      </c>
      <c r="M187">
        <v>106.931</v>
      </c>
      <c r="N187">
        <v>218</v>
      </c>
      <c r="O187">
        <v>106.782</v>
      </c>
      <c r="P187">
        <v>213</v>
      </c>
      <c r="Q187">
        <v>108.61799999999999</v>
      </c>
      <c r="R187">
        <v>156</v>
      </c>
      <c r="S187">
        <v>109.093</v>
      </c>
      <c r="T187">
        <v>201</v>
      </c>
      <c r="U187">
        <v>71.056299999999993</v>
      </c>
      <c r="V187">
        <v>53</v>
      </c>
      <c r="W187">
        <v>69.615200000000002</v>
      </c>
      <c r="X187">
        <v>67</v>
      </c>
      <c r="Y187">
        <v>4.6899999999999997E-2</v>
      </c>
      <c r="Z187">
        <v>65</v>
      </c>
      <c r="AA187">
        <v>-0.11119999999999999</v>
      </c>
      <c r="AB187">
        <v>150</v>
      </c>
      <c r="AC187">
        <v>110.29</v>
      </c>
      <c r="AD187">
        <v>114</v>
      </c>
      <c r="AE187">
        <v>110.401</v>
      </c>
      <c r="AF187">
        <v>200</v>
      </c>
      <c r="AG187">
        <v>5.2529000000000003</v>
      </c>
      <c r="AH187">
        <v>67</v>
      </c>
      <c r="AJ187">
        <v>17.09</v>
      </c>
      <c r="AK187">
        <v>117</v>
      </c>
      <c r="AL187">
        <v>16.66</v>
      </c>
      <c r="AM187">
        <v>26</v>
      </c>
      <c r="AN187">
        <v>17.350000000000001</v>
      </c>
      <c r="AO187">
        <v>5</v>
      </c>
      <c r="AP187">
        <v>17.27</v>
      </c>
      <c r="AQ187">
        <v>2</v>
      </c>
    </row>
    <row r="188" spans="1:43" x14ac:dyDescent="0.2">
      <c r="A188" t="s">
        <v>1782</v>
      </c>
      <c r="B188">
        <v>2026</v>
      </c>
      <c r="C188" t="s">
        <v>591</v>
      </c>
      <c r="D188">
        <v>0</v>
      </c>
      <c r="E188" t="s">
        <v>1093</v>
      </c>
      <c r="F188" t="s">
        <v>1969</v>
      </c>
      <c r="G188">
        <v>23</v>
      </c>
      <c r="H188">
        <v>9</v>
      </c>
      <c r="I188">
        <v>-1.7886</v>
      </c>
      <c r="J188">
        <v>187</v>
      </c>
      <c r="K188">
        <v>0.45350000000000001</v>
      </c>
      <c r="L188">
        <v>187</v>
      </c>
      <c r="M188">
        <v>109.268</v>
      </c>
      <c r="N188">
        <v>172</v>
      </c>
      <c r="O188">
        <v>110.224</v>
      </c>
      <c r="P188">
        <v>135</v>
      </c>
      <c r="Q188">
        <v>111.057</v>
      </c>
      <c r="R188">
        <v>211</v>
      </c>
      <c r="S188">
        <v>103.968</v>
      </c>
      <c r="T188">
        <v>75</v>
      </c>
      <c r="U188">
        <v>70.565899999999999</v>
      </c>
      <c r="V188">
        <v>75</v>
      </c>
      <c r="W188">
        <v>70.224599999999995</v>
      </c>
      <c r="X188">
        <v>36</v>
      </c>
      <c r="Y188">
        <v>6.9800000000000001E-2</v>
      </c>
      <c r="Z188">
        <v>32</v>
      </c>
      <c r="AA188">
        <v>-8.2448999999999995</v>
      </c>
      <c r="AB188">
        <v>324</v>
      </c>
      <c r="AC188">
        <v>103.38200000000001</v>
      </c>
      <c r="AD188">
        <v>343</v>
      </c>
      <c r="AE188">
        <v>111.626</v>
      </c>
      <c r="AF188">
        <v>244</v>
      </c>
      <c r="AG188">
        <v>5.5156000000000001</v>
      </c>
      <c r="AH188">
        <v>61</v>
      </c>
      <c r="AJ188">
        <v>16.66</v>
      </c>
      <c r="AK188">
        <v>71</v>
      </c>
      <c r="AL188">
        <v>17.36</v>
      </c>
      <c r="AM188">
        <v>138</v>
      </c>
      <c r="AN188">
        <v>16.34</v>
      </c>
      <c r="AO188">
        <v>2</v>
      </c>
      <c r="AP188">
        <v>17.84</v>
      </c>
      <c r="AQ188">
        <v>6</v>
      </c>
    </row>
    <row r="189" spans="1:43" x14ac:dyDescent="0.2">
      <c r="A189" t="s">
        <v>1782</v>
      </c>
      <c r="B189">
        <v>2026</v>
      </c>
      <c r="C189" t="s">
        <v>339</v>
      </c>
      <c r="D189">
        <v>0</v>
      </c>
      <c r="E189" t="s">
        <v>1071</v>
      </c>
      <c r="F189" t="s">
        <v>1970</v>
      </c>
      <c r="G189">
        <v>19</v>
      </c>
      <c r="H189">
        <v>13</v>
      </c>
      <c r="I189">
        <v>-1.9453</v>
      </c>
      <c r="J189">
        <v>188</v>
      </c>
      <c r="K189">
        <v>0.4506</v>
      </c>
      <c r="L189">
        <v>188</v>
      </c>
      <c r="M189">
        <v>111.947</v>
      </c>
      <c r="N189">
        <v>122</v>
      </c>
      <c r="O189">
        <v>115.379</v>
      </c>
      <c r="P189">
        <v>59</v>
      </c>
      <c r="Q189">
        <v>113.892</v>
      </c>
      <c r="R189">
        <v>269</v>
      </c>
      <c r="S189">
        <v>111.702</v>
      </c>
      <c r="T189">
        <v>263</v>
      </c>
      <c r="U189">
        <v>69.456500000000005</v>
      </c>
      <c r="V189">
        <v>121</v>
      </c>
      <c r="W189">
        <v>68.941999999999993</v>
      </c>
      <c r="X189">
        <v>95</v>
      </c>
      <c r="Y189">
        <v>-2.06E-2</v>
      </c>
      <c r="Z189">
        <v>242</v>
      </c>
      <c r="AA189">
        <v>-5.3926999999999996</v>
      </c>
      <c r="AB189">
        <v>270</v>
      </c>
      <c r="AC189">
        <v>108.378</v>
      </c>
      <c r="AD189">
        <v>209</v>
      </c>
      <c r="AE189">
        <v>113.771</v>
      </c>
      <c r="AF189">
        <v>345</v>
      </c>
      <c r="AG189">
        <v>3.9744000000000002</v>
      </c>
      <c r="AH189">
        <v>87</v>
      </c>
      <c r="AJ189">
        <v>16.77</v>
      </c>
      <c r="AK189">
        <v>81</v>
      </c>
      <c r="AL189">
        <v>17.579999999999998</v>
      </c>
      <c r="AM189">
        <v>191</v>
      </c>
      <c r="AN189">
        <v>16.34</v>
      </c>
      <c r="AO189">
        <v>1</v>
      </c>
      <c r="AP189">
        <v>18.36</v>
      </c>
      <c r="AQ189">
        <v>9</v>
      </c>
    </row>
    <row r="190" spans="1:43" x14ac:dyDescent="0.2">
      <c r="A190" t="s">
        <v>1782</v>
      </c>
      <c r="B190">
        <v>2026</v>
      </c>
      <c r="C190" t="s">
        <v>193</v>
      </c>
      <c r="D190">
        <v>0</v>
      </c>
      <c r="E190" t="s">
        <v>1071</v>
      </c>
      <c r="F190" t="s">
        <v>1971</v>
      </c>
      <c r="G190">
        <v>22</v>
      </c>
      <c r="H190">
        <v>12</v>
      </c>
      <c r="I190">
        <v>-1.9559</v>
      </c>
      <c r="J190">
        <v>189</v>
      </c>
      <c r="K190">
        <v>0.44840000000000002</v>
      </c>
      <c r="L190">
        <v>190</v>
      </c>
      <c r="M190">
        <v>107.60299999999999</v>
      </c>
      <c r="N190">
        <v>202</v>
      </c>
      <c r="O190">
        <v>111.749</v>
      </c>
      <c r="P190">
        <v>108</v>
      </c>
      <c r="Q190">
        <v>109.559</v>
      </c>
      <c r="R190">
        <v>181</v>
      </c>
      <c r="S190">
        <v>107.21599999999999</v>
      </c>
      <c r="T190">
        <v>140</v>
      </c>
      <c r="U190">
        <v>66.490300000000005</v>
      </c>
      <c r="V190">
        <v>277</v>
      </c>
      <c r="W190">
        <v>65.895200000000003</v>
      </c>
      <c r="X190">
        <v>262</v>
      </c>
      <c r="Y190">
        <v>0.01</v>
      </c>
      <c r="Z190">
        <v>157</v>
      </c>
      <c r="AA190">
        <v>-6.2931999999999997</v>
      </c>
      <c r="AB190">
        <v>290</v>
      </c>
      <c r="AC190">
        <v>108.30200000000001</v>
      </c>
      <c r="AD190">
        <v>216</v>
      </c>
      <c r="AE190">
        <v>114.596</v>
      </c>
      <c r="AF190">
        <v>356</v>
      </c>
      <c r="AG190">
        <v>-0.71130000000000004</v>
      </c>
      <c r="AH190">
        <v>201</v>
      </c>
      <c r="AJ190">
        <v>18.23</v>
      </c>
      <c r="AK190">
        <v>258</v>
      </c>
      <c r="AL190">
        <v>17.649999999999999</v>
      </c>
      <c r="AM190">
        <v>215</v>
      </c>
      <c r="AN190">
        <v>18.489999999999998</v>
      </c>
      <c r="AO190">
        <v>9</v>
      </c>
      <c r="AP190">
        <v>17.899999999999999</v>
      </c>
      <c r="AQ190">
        <v>8</v>
      </c>
    </row>
    <row r="191" spans="1:43" x14ac:dyDescent="0.2">
      <c r="A191" t="s">
        <v>1782</v>
      </c>
      <c r="B191">
        <v>2026</v>
      </c>
      <c r="C191" t="s">
        <v>121</v>
      </c>
      <c r="D191">
        <v>0</v>
      </c>
      <c r="E191" t="s">
        <v>973</v>
      </c>
      <c r="F191" t="s">
        <v>1972</v>
      </c>
      <c r="G191">
        <v>16</v>
      </c>
      <c r="H191">
        <v>12</v>
      </c>
      <c r="I191">
        <v>-1.9608000000000001</v>
      </c>
      <c r="J191">
        <v>190</v>
      </c>
      <c r="K191">
        <v>0.44879999999999998</v>
      </c>
      <c r="L191">
        <v>189</v>
      </c>
      <c r="M191">
        <v>108.651</v>
      </c>
      <c r="N191">
        <v>180</v>
      </c>
      <c r="O191">
        <v>110.196</v>
      </c>
      <c r="P191">
        <v>136</v>
      </c>
      <c r="Q191">
        <v>110.61199999999999</v>
      </c>
      <c r="R191">
        <v>202</v>
      </c>
      <c r="S191">
        <v>108.621</v>
      </c>
      <c r="T191">
        <v>181</v>
      </c>
      <c r="U191">
        <v>67.129000000000005</v>
      </c>
      <c r="V191">
        <v>241</v>
      </c>
      <c r="W191">
        <v>66.675399999999996</v>
      </c>
      <c r="X191">
        <v>222</v>
      </c>
      <c r="Y191">
        <v>1.2200000000000001E-2</v>
      </c>
      <c r="Z191">
        <v>150</v>
      </c>
      <c r="AA191">
        <v>-3.5003000000000002</v>
      </c>
      <c r="AB191">
        <v>230</v>
      </c>
      <c r="AC191">
        <v>108.267</v>
      </c>
      <c r="AD191">
        <v>217</v>
      </c>
      <c r="AE191">
        <v>111.767</v>
      </c>
      <c r="AF191">
        <v>256</v>
      </c>
      <c r="AG191">
        <v>-5.4496000000000002</v>
      </c>
      <c r="AH191">
        <v>310</v>
      </c>
      <c r="AJ191">
        <v>18.73</v>
      </c>
      <c r="AK191">
        <v>312</v>
      </c>
      <c r="AL191">
        <v>16.829999999999998</v>
      </c>
      <c r="AM191">
        <v>36</v>
      </c>
      <c r="AN191">
        <v>19.23</v>
      </c>
      <c r="AO191">
        <v>6</v>
      </c>
      <c r="AP191">
        <v>16.899999999999999</v>
      </c>
      <c r="AQ191">
        <v>1</v>
      </c>
    </row>
    <row r="192" spans="1:43" x14ac:dyDescent="0.2">
      <c r="A192" t="s">
        <v>1782</v>
      </c>
      <c r="B192">
        <v>2026</v>
      </c>
      <c r="C192" t="s">
        <v>537</v>
      </c>
      <c r="D192">
        <v>0</v>
      </c>
      <c r="E192" t="s">
        <v>1084</v>
      </c>
      <c r="F192" t="s">
        <v>1973</v>
      </c>
      <c r="G192">
        <v>23</v>
      </c>
      <c r="H192">
        <v>11</v>
      </c>
      <c r="I192">
        <v>-2.0914999999999999</v>
      </c>
      <c r="J192">
        <v>191</v>
      </c>
      <c r="K192">
        <v>0.44469999999999998</v>
      </c>
      <c r="L192">
        <v>191</v>
      </c>
      <c r="M192">
        <v>107.288</v>
      </c>
      <c r="N192">
        <v>209</v>
      </c>
      <c r="O192">
        <v>109.691</v>
      </c>
      <c r="P192">
        <v>144</v>
      </c>
      <c r="Q192">
        <v>109.38</v>
      </c>
      <c r="R192">
        <v>176</v>
      </c>
      <c r="S192">
        <v>101.81699999999999</v>
      </c>
      <c r="T192">
        <v>43</v>
      </c>
      <c r="U192">
        <v>64.306100000000001</v>
      </c>
      <c r="V192">
        <v>349</v>
      </c>
      <c r="W192">
        <v>64.665199999999999</v>
      </c>
      <c r="X192">
        <v>321</v>
      </c>
      <c r="Y192">
        <v>5.0000000000000001E-3</v>
      </c>
      <c r="Z192">
        <v>176</v>
      </c>
      <c r="AA192">
        <v>-9.4960000000000004</v>
      </c>
      <c r="AB192">
        <v>348</v>
      </c>
      <c r="AC192">
        <v>103.071</v>
      </c>
      <c r="AD192">
        <v>348</v>
      </c>
      <c r="AE192">
        <v>112.56699999999999</v>
      </c>
      <c r="AF192">
        <v>296</v>
      </c>
      <c r="AG192">
        <v>-7.7096</v>
      </c>
      <c r="AH192">
        <v>343</v>
      </c>
      <c r="AJ192">
        <v>19.16</v>
      </c>
      <c r="AK192">
        <v>341</v>
      </c>
      <c r="AL192">
        <v>18.2</v>
      </c>
      <c r="AM192">
        <v>318</v>
      </c>
      <c r="AN192">
        <v>18.989999999999998</v>
      </c>
      <c r="AO192">
        <v>10</v>
      </c>
      <c r="AP192">
        <v>18.75</v>
      </c>
      <c r="AQ192">
        <v>12</v>
      </c>
    </row>
    <row r="193" spans="1:43" x14ac:dyDescent="0.2">
      <c r="A193" t="s">
        <v>1782</v>
      </c>
      <c r="B193">
        <v>2026</v>
      </c>
      <c r="C193" t="s">
        <v>173</v>
      </c>
      <c r="D193">
        <v>0</v>
      </c>
      <c r="E193" t="s">
        <v>1003</v>
      </c>
      <c r="F193" t="s">
        <v>1974</v>
      </c>
      <c r="G193">
        <v>15</v>
      </c>
      <c r="H193">
        <v>17</v>
      </c>
      <c r="I193">
        <v>-2.1349999999999998</v>
      </c>
      <c r="J193">
        <v>192</v>
      </c>
      <c r="K193">
        <v>0.44379999999999997</v>
      </c>
      <c r="L193">
        <v>192</v>
      </c>
      <c r="M193">
        <v>107.68899999999999</v>
      </c>
      <c r="N193">
        <v>200</v>
      </c>
      <c r="O193">
        <v>107.459</v>
      </c>
      <c r="P193">
        <v>198</v>
      </c>
      <c r="Q193">
        <v>109.824</v>
      </c>
      <c r="R193">
        <v>188</v>
      </c>
      <c r="S193">
        <v>109.089</v>
      </c>
      <c r="T193">
        <v>200</v>
      </c>
      <c r="U193">
        <v>71.463099999999997</v>
      </c>
      <c r="V193">
        <v>35</v>
      </c>
      <c r="W193">
        <v>71.530199999999994</v>
      </c>
      <c r="X193">
        <v>16</v>
      </c>
      <c r="Y193">
        <v>-5.1200000000000002E-2</v>
      </c>
      <c r="Z193">
        <v>308</v>
      </c>
      <c r="AA193">
        <v>-1.3086</v>
      </c>
      <c r="AB193">
        <v>183</v>
      </c>
      <c r="AC193">
        <v>108.733</v>
      </c>
      <c r="AD193">
        <v>187</v>
      </c>
      <c r="AE193">
        <v>110.042</v>
      </c>
      <c r="AF193">
        <v>186</v>
      </c>
      <c r="AG193">
        <v>-5.3800000000000001E-2</v>
      </c>
      <c r="AH193">
        <v>188</v>
      </c>
      <c r="AJ193">
        <v>15.6</v>
      </c>
      <c r="AK193">
        <v>15</v>
      </c>
      <c r="AL193">
        <v>18</v>
      </c>
      <c r="AM193">
        <v>293</v>
      </c>
      <c r="AN193">
        <v>15.83</v>
      </c>
      <c r="AO193">
        <v>1</v>
      </c>
      <c r="AP193">
        <v>18.239999999999998</v>
      </c>
      <c r="AQ193">
        <v>10</v>
      </c>
    </row>
    <row r="194" spans="1:43" x14ac:dyDescent="0.2">
      <c r="A194" t="s">
        <v>1782</v>
      </c>
      <c r="B194">
        <v>2026</v>
      </c>
      <c r="C194" t="s">
        <v>395</v>
      </c>
      <c r="D194">
        <v>0</v>
      </c>
      <c r="E194" t="s">
        <v>956</v>
      </c>
      <c r="F194" t="s">
        <v>1975</v>
      </c>
      <c r="G194">
        <v>15</v>
      </c>
      <c r="H194">
        <v>18</v>
      </c>
      <c r="I194">
        <v>-2.1989999999999998</v>
      </c>
      <c r="J194">
        <v>193</v>
      </c>
      <c r="K194">
        <v>0.44330000000000003</v>
      </c>
      <c r="L194">
        <v>193</v>
      </c>
      <c r="M194">
        <v>109.88800000000001</v>
      </c>
      <c r="N194">
        <v>158</v>
      </c>
      <c r="O194">
        <v>106.336</v>
      </c>
      <c r="P194">
        <v>223</v>
      </c>
      <c r="Q194">
        <v>112.087</v>
      </c>
      <c r="R194">
        <v>232</v>
      </c>
      <c r="S194">
        <v>110.979</v>
      </c>
      <c r="T194">
        <v>242</v>
      </c>
      <c r="U194">
        <v>69.644999999999996</v>
      </c>
      <c r="V194">
        <v>112</v>
      </c>
      <c r="W194">
        <v>69.734700000000004</v>
      </c>
      <c r="X194">
        <v>62</v>
      </c>
      <c r="Y194">
        <v>3.7600000000000001E-2</v>
      </c>
      <c r="Z194">
        <v>95</v>
      </c>
      <c r="AA194">
        <v>0.51990000000000003</v>
      </c>
      <c r="AB194">
        <v>138</v>
      </c>
      <c r="AC194">
        <v>108.4</v>
      </c>
      <c r="AD194">
        <v>208</v>
      </c>
      <c r="AE194">
        <v>107.88</v>
      </c>
      <c r="AF194">
        <v>114</v>
      </c>
      <c r="AG194">
        <v>13.945600000000001</v>
      </c>
      <c r="AH194">
        <v>5</v>
      </c>
      <c r="AJ194">
        <v>17.850000000000001</v>
      </c>
      <c r="AK194">
        <v>219</v>
      </c>
      <c r="AL194">
        <v>16.63</v>
      </c>
      <c r="AM194">
        <v>21</v>
      </c>
      <c r="AN194">
        <v>17.82</v>
      </c>
      <c r="AO194">
        <v>4</v>
      </c>
      <c r="AP194">
        <v>16.86</v>
      </c>
      <c r="AQ194">
        <v>1</v>
      </c>
    </row>
    <row r="195" spans="1:43" x14ac:dyDescent="0.2">
      <c r="A195" t="s">
        <v>1782</v>
      </c>
      <c r="B195">
        <v>2026</v>
      </c>
      <c r="C195" t="s">
        <v>639</v>
      </c>
      <c r="D195">
        <v>0</v>
      </c>
      <c r="E195" t="s">
        <v>1101</v>
      </c>
      <c r="F195" t="s">
        <v>1976</v>
      </c>
      <c r="G195">
        <v>23</v>
      </c>
      <c r="H195">
        <v>8</v>
      </c>
      <c r="I195">
        <v>-2.2595000000000001</v>
      </c>
      <c r="J195">
        <v>194</v>
      </c>
      <c r="K195">
        <v>0.44090000000000001</v>
      </c>
      <c r="L195">
        <v>194</v>
      </c>
      <c r="M195">
        <v>108.26900000000001</v>
      </c>
      <c r="N195">
        <v>185</v>
      </c>
      <c r="O195">
        <v>112.68</v>
      </c>
      <c r="P195">
        <v>95</v>
      </c>
      <c r="Q195">
        <v>110.529</v>
      </c>
      <c r="R195">
        <v>200</v>
      </c>
      <c r="S195">
        <v>101.803</v>
      </c>
      <c r="T195">
        <v>42</v>
      </c>
      <c r="U195">
        <v>66.497699999999995</v>
      </c>
      <c r="V195">
        <v>274</v>
      </c>
      <c r="W195">
        <v>66.195099999999996</v>
      </c>
      <c r="X195">
        <v>244</v>
      </c>
      <c r="Y195">
        <v>4.53E-2</v>
      </c>
      <c r="Z195">
        <v>68</v>
      </c>
      <c r="AA195">
        <v>-14.9971</v>
      </c>
      <c r="AB195">
        <v>365</v>
      </c>
      <c r="AC195">
        <v>100.60899999999999</v>
      </c>
      <c r="AD195">
        <v>365</v>
      </c>
      <c r="AE195">
        <v>115.607</v>
      </c>
      <c r="AF195">
        <v>364</v>
      </c>
      <c r="AG195">
        <v>-7.0312000000000001</v>
      </c>
      <c r="AH195">
        <v>334</v>
      </c>
      <c r="AJ195">
        <v>17.28</v>
      </c>
      <c r="AK195">
        <v>148</v>
      </c>
      <c r="AL195">
        <v>18.68</v>
      </c>
      <c r="AM195">
        <v>355</v>
      </c>
      <c r="AN195">
        <v>17.22</v>
      </c>
      <c r="AO195">
        <v>1</v>
      </c>
      <c r="AP195">
        <v>19.399999999999999</v>
      </c>
      <c r="AQ195">
        <v>9</v>
      </c>
    </row>
    <row r="196" spans="1:43" x14ac:dyDescent="0.2">
      <c r="A196" t="s">
        <v>1782</v>
      </c>
      <c r="B196">
        <v>2026</v>
      </c>
      <c r="C196" t="s">
        <v>333</v>
      </c>
      <c r="D196">
        <v>0</v>
      </c>
      <c r="E196" t="s">
        <v>953</v>
      </c>
      <c r="F196" t="s">
        <v>1977</v>
      </c>
      <c r="G196">
        <v>17</v>
      </c>
      <c r="H196">
        <v>15</v>
      </c>
      <c r="I196">
        <v>-2.3012000000000001</v>
      </c>
      <c r="J196">
        <v>195</v>
      </c>
      <c r="K196">
        <v>0.4405</v>
      </c>
      <c r="L196">
        <v>195</v>
      </c>
      <c r="M196">
        <v>109.429</v>
      </c>
      <c r="N196">
        <v>167</v>
      </c>
      <c r="O196">
        <v>110.355</v>
      </c>
      <c r="P196">
        <v>132</v>
      </c>
      <c r="Q196">
        <v>111.73099999999999</v>
      </c>
      <c r="R196">
        <v>223</v>
      </c>
      <c r="S196">
        <v>108.497</v>
      </c>
      <c r="T196">
        <v>178</v>
      </c>
      <c r="U196">
        <v>71.194500000000005</v>
      </c>
      <c r="V196">
        <v>49</v>
      </c>
      <c r="W196">
        <v>69.923599999999993</v>
      </c>
      <c r="X196">
        <v>50</v>
      </c>
      <c r="Y196">
        <v>-4.5999999999999999E-2</v>
      </c>
      <c r="Z196">
        <v>300</v>
      </c>
      <c r="AA196">
        <v>-3.9546999999999999</v>
      </c>
      <c r="AB196">
        <v>244</v>
      </c>
      <c r="AC196">
        <v>107.717</v>
      </c>
      <c r="AD196">
        <v>249</v>
      </c>
      <c r="AE196">
        <v>111.672</v>
      </c>
      <c r="AF196">
        <v>252</v>
      </c>
      <c r="AG196">
        <v>-6.6265000000000001</v>
      </c>
      <c r="AH196">
        <v>328</v>
      </c>
      <c r="AJ196">
        <v>16.760000000000002</v>
      </c>
      <c r="AK196">
        <v>79</v>
      </c>
      <c r="AL196">
        <v>17.239999999999998</v>
      </c>
      <c r="AM196">
        <v>116</v>
      </c>
      <c r="AN196">
        <v>16.920000000000002</v>
      </c>
      <c r="AO196">
        <v>5</v>
      </c>
      <c r="AP196">
        <v>17.3</v>
      </c>
      <c r="AQ196">
        <v>7</v>
      </c>
    </row>
    <row r="197" spans="1:43" x14ac:dyDescent="0.2">
      <c r="A197" t="s">
        <v>1782</v>
      </c>
      <c r="B197">
        <v>2026</v>
      </c>
      <c r="C197" t="s">
        <v>21</v>
      </c>
      <c r="D197">
        <v>0</v>
      </c>
      <c r="E197" t="s">
        <v>1045</v>
      </c>
      <c r="F197" t="s">
        <v>1978</v>
      </c>
      <c r="G197">
        <v>19</v>
      </c>
      <c r="H197">
        <v>13</v>
      </c>
      <c r="I197">
        <v>-2.3589000000000002</v>
      </c>
      <c r="J197">
        <v>196</v>
      </c>
      <c r="K197">
        <v>0.43709999999999999</v>
      </c>
      <c r="L197">
        <v>196</v>
      </c>
      <c r="M197">
        <v>106</v>
      </c>
      <c r="N197">
        <v>232</v>
      </c>
      <c r="O197">
        <v>107.633</v>
      </c>
      <c r="P197">
        <v>194</v>
      </c>
      <c r="Q197">
        <v>108.35899999999999</v>
      </c>
      <c r="R197">
        <v>148</v>
      </c>
      <c r="S197">
        <v>104.81</v>
      </c>
      <c r="T197">
        <v>88</v>
      </c>
      <c r="U197">
        <v>64.074200000000005</v>
      </c>
      <c r="V197">
        <v>353</v>
      </c>
      <c r="W197">
        <v>62.996400000000001</v>
      </c>
      <c r="X197">
        <v>359</v>
      </c>
      <c r="Y197">
        <v>1.5100000000000001E-2</v>
      </c>
      <c r="Z197">
        <v>144</v>
      </c>
      <c r="AA197">
        <v>-5.5814000000000004</v>
      </c>
      <c r="AB197">
        <v>273</v>
      </c>
      <c r="AC197">
        <v>107.107</v>
      </c>
      <c r="AD197">
        <v>269</v>
      </c>
      <c r="AE197">
        <v>112.68899999999999</v>
      </c>
      <c r="AF197">
        <v>300</v>
      </c>
      <c r="AG197">
        <v>-3.3401000000000001</v>
      </c>
      <c r="AH197">
        <v>274</v>
      </c>
      <c r="AJ197">
        <v>19.579999999999998</v>
      </c>
      <c r="AK197">
        <v>358</v>
      </c>
      <c r="AL197">
        <v>17.760000000000002</v>
      </c>
      <c r="AM197">
        <v>238</v>
      </c>
      <c r="AN197">
        <v>19.73</v>
      </c>
      <c r="AO197">
        <v>14</v>
      </c>
      <c r="AP197">
        <v>17.48</v>
      </c>
      <c r="AQ197">
        <v>5</v>
      </c>
    </row>
    <row r="198" spans="1:43" x14ac:dyDescent="0.2">
      <c r="A198" t="s">
        <v>1782</v>
      </c>
      <c r="B198">
        <v>2026</v>
      </c>
      <c r="C198" t="s">
        <v>309</v>
      </c>
      <c r="D198">
        <v>0</v>
      </c>
      <c r="E198" t="s">
        <v>1003</v>
      </c>
      <c r="F198" t="s">
        <v>1979</v>
      </c>
      <c r="G198">
        <v>19</v>
      </c>
      <c r="H198">
        <v>13</v>
      </c>
      <c r="I198">
        <v>-2.6021999999999998</v>
      </c>
      <c r="J198">
        <v>197</v>
      </c>
      <c r="K198">
        <v>0.42859999999999998</v>
      </c>
      <c r="L198">
        <v>200</v>
      </c>
      <c r="M198">
        <v>102.812</v>
      </c>
      <c r="N198">
        <v>290</v>
      </c>
      <c r="O198">
        <v>103.551</v>
      </c>
      <c r="P198">
        <v>277</v>
      </c>
      <c r="Q198">
        <v>105.41500000000001</v>
      </c>
      <c r="R198">
        <v>100</v>
      </c>
      <c r="S198">
        <v>103.267</v>
      </c>
      <c r="T198">
        <v>67</v>
      </c>
      <c r="U198">
        <v>64.9726</v>
      </c>
      <c r="V198">
        <v>333</v>
      </c>
      <c r="W198">
        <v>64.646299999999997</v>
      </c>
      <c r="X198">
        <v>323</v>
      </c>
      <c r="Y198">
        <v>4.7199999999999999E-2</v>
      </c>
      <c r="Z198">
        <v>64</v>
      </c>
      <c r="AA198">
        <v>-3.1798999999999999</v>
      </c>
      <c r="AB198">
        <v>224</v>
      </c>
      <c r="AC198">
        <v>108.03</v>
      </c>
      <c r="AD198">
        <v>234</v>
      </c>
      <c r="AE198">
        <v>111.21</v>
      </c>
      <c r="AF198">
        <v>229</v>
      </c>
      <c r="AG198">
        <v>-7.1386000000000003</v>
      </c>
      <c r="AH198">
        <v>335</v>
      </c>
      <c r="AJ198">
        <v>18.440000000000001</v>
      </c>
      <c r="AK198">
        <v>284</v>
      </c>
      <c r="AL198">
        <v>18.45</v>
      </c>
      <c r="AM198">
        <v>346</v>
      </c>
      <c r="AN198">
        <v>18.23</v>
      </c>
      <c r="AO198">
        <v>7</v>
      </c>
      <c r="AP198">
        <v>18.670000000000002</v>
      </c>
      <c r="AQ198">
        <v>12</v>
      </c>
    </row>
    <row r="199" spans="1:43" x14ac:dyDescent="0.2">
      <c r="A199" t="s">
        <v>1782</v>
      </c>
      <c r="B199">
        <v>2026</v>
      </c>
      <c r="C199" t="s">
        <v>695</v>
      </c>
      <c r="D199">
        <v>0</v>
      </c>
      <c r="E199" t="s">
        <v>1031</v>
      </c>
      <c r="F199" t="s">
        <v>1980</v>
      </c>
      <c r="G199">
        <v>16</v>
      </c>
      <c r="H199">
        <v>16</v>
      </c>
      <c r="I199">
        <v>-2.6132</v>
      </c>
      <c r="J199">
        <v>198</v>
      </c>
      <c r="K199">
        <v>0.43390000000000001</v>
      </c>
      <c r="L199">
        <v>197</v>
      </c>
      <c r="M199">
        <v>111.741</v>
      </c>
      <c r="N199">
        <v>128</v>
      </c>
      <c r="O199">
        <v>111.79300000000001</v>
      </c>
      <c r="P199">
        <v>107</v>
      </c>
      <c r="Q199">
        <v>114.354</v>
      </c>
      <c r="R199">
        <v>280</v>
      </c>
      <c r="S199">
        <v>111.898</v>
      </c>
      <c r="T199">
        <v>269</v>
      </c>
      <c r="U199">
        <v>69.835999999999999</v>
      </c>
      <c r="V199">
        <v>99</v>
      </c>
      <c r="W199">
        <v>68.5077</v>
      </c>
      <c r="X199">
        <v>117</v>
      </c>
      <c r="Y199">
        <v>-3.1199999999999999E-2</v>
      </c>
      <c r="Z199">
        <v>275</v>
      </c>
      <c r="AA199">
        <v>-1.9396</v>
      </c>
      <c r="AB199">
        <v>202</v>
      </c>
      <c r="AC199">
        <v>108.444</v>
      </c>
      <c r="AD199">
        <v>204</v>
      </c>
      <c r="AE199">
        <v>110.384</v>
      </c>
      <c r="AF199">
        <v>198</v>
      </c>
      <c r="AG199">
        <v>-1.0485</v>
      </c>
      <c r="AH199">
        <v>216</v>
      </c>
      <c r="AJ199">
        <v>17.12</v>
      </c>
      <c r="AK199">
        <v>122</v>
      </c>
      <c r="AL199">
        <v>17.21</v>
      </c>
      <c r="AM199">
        <v>106</v>
      </c>
      <c r="AN199">
        <v>17.329999999999998</v>
      </c>
      <c r="AO199">
        <v>4</v>
      </c>
      <c r="AP199">
        <v>17.329999999999998</v>
      </c>
      <c r="AQ199">
        <v>4</v>
      </c>
    </row>
    <row r="200" spans="1:43" x14ac:dyDescent="0.2">
      <c r="A200" t="s">
        <v>1782</v>
      </c>
      <c r="B200">
        <v>2026</v>
      </c>
      <c r="C200" t="s">
        <v>147</v>
      </c>
      <c r="D200">
        <v>0</v>
      </c>
      <c r="E200" t="s">
        <v>959</v>
      </c>
      <c r="F200" t="s">
        <v>1981</v>
      </c>
      <c r="G200">
        <v>14</v>
      </c>
      <c r="H200">
        <v>20</v>
      </c>
      <c r="I200">
        <v>-2.6162000000000001</v>
      </c>
      <c r="J200">
        <v>199</v>
      </c>
      <c r="K200">
        <v>0.43290000000000001</v>
      </c>
      <c r="L200">
        <v>198</v>
      </c>
      <c r="M200">
        <v>110.11499999999999</v>
      </c>
      <c r="N200">
        <v>156</v>
      </c>
      <c r="O200">
        <v>108.008</v>
      </c>
      <c r="P200">
        <v>186</v>
      </c>
      <c r="Q200">
        <v>112.73099999999999</v>
      </c>
      <c r="R200">
        <v>250</v>
      </c>
      <c r="S200">
        <v>111.65600000000001</v>
      </c>
      <c r="T200">
        <v>262</v>
      </c>
      <c r="U200">
        <v>67.849000000000004</v>
      </c>
      <c r="V200">
        <v>211</v>
      </c>
      <c r="W200">
        <v>67.243899999999996</v>
      </c>
      <c r="X200">
        <v>185</v>
      </c>
      <c r="Y200">
        <v>-6.0400000000000002E-2</v>
      </c>
      <c r="Z200">
        <v>323</v>
      </c>
      <c r="AA200">
        <v>2.0419</v>
      </c>
      <c r="AB200">
        <v>110</v>
      </c>
      <c r="AC200">
        <v>109.496</v>
      </c>
      <c r="AD200">
        <v>149</v>
      </c>
      <c r="AE200">
        <v>107.45399999999999</v>
      </c>
      <c r="AF200">
        <v>102</v>
      </c>
      <c r="AG200">
        <v>-4.1318999999999999</v>
      </c>
      <c r="AH200">
        <v>287</v>
      </c>
      <c r="AJ200">
        <v>17.89</v>
      </c>
      <c r="AK200">
        <v>226</v>
      </c>
      <c r="AL200">
        <v>17.399999999999999</v>
      </c>
      <c r="AM200">
        <v>153</v>
      </c>
      <c r="AN200">
        <v>17.600000000000001</v>
      </c>
      <c r="AO200">
        <v>4</v>
      </c>
      <c r="AP200">
        <v>17.48</v>
      </c>
      <c r="AQ200">
        <v>5</v>
      </c>
    </row>
    <row r="201" spans="1:43" x14ac:dyDescent="0.2">
      <c r="A201" t="s">
        <v>1782</v>
      </c>
      <c r="B201">
        <v>2026</v>
      </c>
      <c r="C201" t="s">
        <v>71</v>
      </c>
      <c r="D201">
        <v>0</v>
      </c>
      <c r="E201" t="s">
        <v>953</v>
      </c>
      <c r="F201" t="s">
        <v>1982</v>
      </c>
      <c r="G201">
        <v>17</v>
      </c>
      <c r="H201">
        <v>15</v>
      </c>
      <c r="I201">
        <v>-2.7957999999999998</v>
      </c>
      <c r="J201">
        <v>200</v>
      </c>
      <c r="K201">
        <v>0.4299</v>
      </c>
      <c r="L201">
        <v>199</v>
      </c>
      <c r="M201">
        <v>112.548</v>
      </c>
      <c r="N201">
        <v>114</v>
      </c>
      <c r="O201">
        <v>113.80500000000001</v>
      </c>
      <c r="P201">
        <v>76</v>
      </c>
      <c r="Q201">
        <v>115.34399999999999</v>
      </c>
      <c r="R201">
        <v>296</v>
      </c>
      <c r="S201">
        <v>112.71</v>
      </c>
      <c r="T201">
        <v>286</v>
      </c>
      <c r="U201">
        <v>67.563500000000005</v>
      </c>
      <c r="V201">
        <v>220</v>
      </c>
      <c r="W201">
        <v>66.459400000000002</v>
      </c>
      <c r="X201">
        <v>229</v>
      </c>
      <c r="Y201">
        <v>-2.8299999999999999E-2</v>
      </c>
      <c r="Z201">
        <v>262</v>
      </c>
      <c r="AA201">
        <v>-3.6171000000000002</v>
      </c>
      <c r="AB201">
        <v>231</v>
      </c>
      <c r="AC201">
        <v>107.71</v>
      </c>
      <c r="AD201">
        <v>251</v>
      </c>
      <c r="AE201">
        <v>111.327</v>
      </c>
      <c r="AF201">
        <v>235</v>
      </c>
      <c r="AG201">
        <v>-6.7434000000000003</v>
      </c>
      <c r="AH201">
        <v>330</v>
      </c>
      <c r="AJ201">
        <v>17.47</v>
      </c>
      <c r="AK201">
        <v>171</v>
      </c>
      <c r="AL201">
        <v>18</v>
      </c>
      <c r="AM201">
        <v>290</v>
      </c>
      <c r="AN201">
        <v>17.55</v>
      </c>
      <c r="AO201">
        <v>8</v>
      </c>
      <c r="AP201">
        <v>17.79</v>
      </c>
      <c r="AQ201">
        <v>11</v>
      </c>
    </row>
    <row r="202" spans="1:43" x14ac:dyDescent="0.2">
      <c r="A202" t="s">
        <v>1782</v>
      </c>
      <c r="B202">
        <v>2026</v>
      </c>
      <c r="C202" t="s">
        <v>297</v>
      </c>
      <c r="D202">
        <v>0</v>
      </c>
      <c r="E202" t="s">
        <v>1055</v>
      </c>
      <c r="F202" t="s">
        <v>1983</v>
      </c>
      <c r="G202">
        <v>19</v>
      </c>
      <c r="H202">
        <v>13</v>
      </c>
      <c r="I202">
        <v>-2.8071000000000002</v>
      </c>
      <c r="J202">
        <v>201</v>
      </c>
      <c r="K202">
        <v>0.42609999999999998</v>
      </c>
      <c r="L202">
        <v>201</v>
      </c>
      <c r="M202">
        <v>107.074</v>
      </c>
      <c r="N202">
        <v>213</v>
      </c>
      <c r="O202">
        <v>110.18600000000001</v>
      </c>
      <c r="P202">
        <v>137</v>
      </c>
      <c r="Q202">
        <v>109.881</v>
      </c>
      <c r="R202">
        <v>189</v>
      </c>
      <c r="S202">
        <v>108.788</v>
      </c>
      <c r="T202">
        <v>187</v>
      </c>
      <c r="U202">
        <v>70.484099999999998</v>
      </c>
      <c r="V202">
        <v>77</v>
      </c>
      <c r="W202">
        <v>69.328599999999994</v>
      </c>
      <c r="X202">
        <v>75</v>
      </c>
      <c r="Y202">
        <v>4.36E-2</v>
      </c>
      <c r="Z202">
        <v>73</v>
      </c>
      <c r="AA202">
        <v>-5.2183000000000002</v>
      </c>
      <c r="AB202">
        <v>267</v>
      </c>
      <c r="AC202">
        <v>108.851</v>
      </c>
      <c r="AD202">
        <v>178</v>
      </c>
      <c r="AE202">
        <v>114.069</v>
      </c>
      <c r="AF202">
        <v>348</v>
      </c>
      <c r="AG202">
        <v>4.7000999999999999</v>
      </c>
      <c r="AH202">
        <v>75</v>
      </c>
      <c r="AJ202">
        <v>16.260000000000002</v>
      </c>
      <c r="AK202">
        <v>42</v>
      </c>
      <c r="AL202">
        <v>17.579999999999998</v>
      </c>
      <c r="AM202">
        <v>190</v>
      </c>
      <c r="AN202">
        <v>16.32</v>
      </c>
      <c r="AO202">
        <v>3</v>
      </c>
      <c r="AP202">
        <v>18.5</v>
      </c>
      <c r="AQ202">
        <v>12</v>
      </c>
    </row>
    <row r="203" spans="1:43" x14ac:dyDescent="0.2">
      <c r="A203" t="s">
        <v>1782</v>
      </c>
      <c r="B203">
        <v>2026</v>
      </c>
      <c r="C203" t="s">
        <v>467</v>
      </c>
      <c r="D203">
        <v>0</v>
      </c>
      <c r="E203" t="s">
        <v>896</v>
      </c>
      <c r="F203" t="s">
        <v>1984</v>
      </c>
      <c r="G203">
        <v>15</v>
      </c>
      <c r="H203">
        <v>19</v>
      </c>
      <c r="I203">
        <v>-2.8292000000000002</v>
      </c>
      <c r="J203">
        <v>202</v>
      </c>
      <c r="K203">
        <v>0.42499999999999999</v>
      </c>
      <c r="L203">
        <v>202</v>
      </c>
      <c r="M203">
        <v>106.22</v>
      </c>
      <c r="N203">
        <v>228</v>
      </c>
      <c r="O203">
        <v>102.26</v>
      </c>
      <c r="P203">
        <v>301</v>
      </c>
      <c r="Q203">
        <v>109.04900000000001</v>
      </c>
      <c r="R203">
        <v>164</v>
      </c>
      <c r="S203">
        <v>111.35899999999999</v>
      </c>
      <c r="T203">
        <v>253</v>
      </c>
      <c r="U203">
        <v>69.696399999999997</v>
      </c>
      <c r="V203">
        <v>106</v>
      </c>
      <c r="W203">
        <v>68.467799999999997</v>
      </c>
      <c r="X203">
        <v>120</v>
      </c>
      <c r="Y203">
        <v>6.4000000000000001E-2</v>
      </c>
      <c r="Z203">
        <v>42</v>
      </c>
      <c r="AA203">
        <v>3.6755</v>
      </c>
      <c r="AB203">
        <v>101</v>
      </c>
      <c r="AC203">
        <v>111.416</v>
      </c>
      <c r="AD203">
        <v>97</v>
      </c>
      <c r="AE203">
        <v>107.741</v>
      </c>
      <c r="AF203">
        <v>112</v>
      </c>
      <c r="AG203">
        <v>0.72470000000000001</v>
      </c>
      <c r="AH203">
        <v>164</v>
      </c>
      <c r="AJ203">
        <v>17.43</v>
      </c>
      <c r="AK203">
        <v>160</v>
      </c>
      <c r="AL203">
        <v>17.22</v>
      </c>
      <c r="AM203">
        <v>110</v>
      </c>
      <c r="AN203">
        <v>17.91</v>
      </c>
      <c r="AO203">
        <v>8</v>
      </c>
      <c r="AP203">
        <v>17.79</v>
      </c>
      <c r="AQ203">
        <v>7</v>
      </c>
    </row>
    <row r="204" spans="1:43" x14ac:dyDescent="0.2">
      <c r="A204" t="s">
        <v>1782</v>
      </c>
      <c r="B204">
        <v>2026</v>
      </c>
      <c r="C204" t="s">
        <v>253</v>
      </c>
      <c r="D204">
        <v>0</v>
      </c>
      <c r="E204" t="s">
        <v>959</v>
      </c>
      <c r="F204" t="s">
        <v>1985</v>
      </c>
      <c r="G204">
        <v>11</v>
      </c>
      <c r="H204">
        <v>21</v>
      </c>
      <c r="I204">
        <v>-2.8462999999999998</v>
      </c>
      <c r="J204">
        <v>203</v>
      </c>
      <c r="K204">
        <v>0.42470000000000002</v>
      </c>
      <c r="L204">
        <v>203</v>
      </c>
      <c r="M204">
        <v>106.40900000000001</v>
      </c>
      <c r="N204">
        <v>225</v>
      </c>
      <c r="O204">
        <v>103.33199999999999</v>
      </c>
      <c r="P204">
        <v>281</v>
      </c>
      <c r="Q204">
        <v>109.256</v>
      </c>
      <c r="R204">
        <v>172</v>
      </c>
      <c r="S204">
        <v>107.66800000000001</v>
      </c>
      <c r="T204">
        <v>155</v>
      </c>
      <c r="U204">
        <v>68.331999999999994</v>
      </c>
      <c r="V204">
        <v>185</v>
      </c>
      <c r="W204">
        <v>68.014899999999997</v>
      </c>
      <c r="X204">
        <v>138</v>
      </c>
      <c r="Y204">
        <v>-0.10970000000000001</v>
      </c>
      <c r="Z204">
        <v>362</v>
      </c>
      <c r="AA204">
        <v>1.2586999999999999</v>
      </c>
      <c r="AB204">
        <v>123</v>
      </c>
      <c r="AC204">
        <v>108.739</v>
      </c>
      <c r="AD204">
        <v>184</v>
      </c>
      <c r="AE204">
        <v>107.48</v>
      </c>
      <c r="AF204">
        <v>103</v>
      </c>
      <c r="AG204">
        <v>-5.4461000000000004</v>
      </c>
      <c r="AH204">
        <v>308</v>
      </c>
      <c r="AJ204">
        <v>17.71</v>
      </c>
      <c r="AK204">
        <v>201</v>
      </c>
      <c r="AL204">
        <v>17.309999999999999</v>
      </c>
      <c r="AM204">
        <v>127</v>
      </c>
      <c r="AN204">
        <v>17.96</v>
      </c>
      <c r="AO204">
        <v>6</v>
      </c>
      <c r="AP204">
        <v>17.29</v>
      </c>
      <c r="AQ204">
        <v>3</v>
      </c>
    </row>
    <row r="205" spans="1:43" x14ac:dyDescent="0.2">
      <c r="A205" t="s">
        <v>1782</v>
      </c>
      <c r="B205">
        <v>2026</v>
      </c>
      <c r="C205" t="s">
        <v>363</v>
      </c>
      <c r="D205">
        <v>0</v>
      </c>
      <c r="E205" t="s">
        <v>1003</v>
      </c>
      <c r="F205" t="s">
        <v>1986</v>
      </c>
      <c r="G205">
        <v>16</v>
      </c>
      <c r="H205">
        <v>17</v>
      </c>
      <c r="I205">
        <v>-2.9298000000000002</v>
      </c>
      <c r="J205">
        <v>204</v>
      </c>
      <c r="K205">
        <v>0.42409999999999998</v>
      </c>
      <c r="L205">
        <v>204</v>
      </c>
      <c r="M205">
        <v>108.67</v>
      </c>
      <c r="N205">
        <v>179</v>
      </c>
      <c r="O205">
        <v>108.405</v>
      </c>
      <c r="P205">
        <v>177</v>
      </c>
      <c r="Q205">
        <v>111.6</v>
      </c>
      <c r="R205">
        <v>220</v>
      </c>
      <c r="S205">
        <v>109.9</v>
      </c>
      <c r="T205">
        <v>218</v>
      </c>
      <c r="U205">
        <v>66.653999999999996</v>
      </c>
      <c r="V205">
        <v>262</v>
      </c>
      <c r="W205">
        <v>65.671000000000006</v>
      </c>
      <c r="X205">
        <v>273</v>
      </c>
      <c r="Y205">
        <v>-3.2300000000000002E-2</v>
      </c>
      <c r="Z205">
        <v>277</v>
      </c>
      <c r="AA205">
        <v>-1.6317999999999999</v>
      </c>
      <c r="AB205">
        <v>192</v>
      </c>
      <c r="AC205">
        <v>108.378</v>
      </c>
      <c r="AD205">
        <v>210</v>
      </c>
      <c r="AE205">
        <v>110.009</v>
      </c>
      <c r="AF205">
        <v>182</v>
      </c>
      <c r="AG205">
        <v>-1.0714999999999999</v>
      </c>
      <c r="AH205">
        <v>219</v>
      </c>
      <c r="AJ205">
        <v>17.96</v>
      </c>
      <c r="AK205">
        <v>232</v>
      </c>
      <c r="AL205">
        <v>17.97</v>
      </c>
      <c r="AM205">
        <v>287</v>
      </c>
      <c r="AN205">
        <v>17.93</v>
      </c>
      <c r="AO205">
        <v>6</v>
      </c>
      <c r="AP205">
        <v>17.920000000000002</v>
      </c>
      <c r="AQ205">
        <v>7</v>
      </c>
    </row>
    <row r="206" spans="1:43" x14ac:dyDescent="0.2">
      <c r="A206" t="s">
        <v>1782</v>
      </c>
      <c r="B206">
        <v>2026</v>
      </c>
      <c r="C206" t="s">
        <v>235</v>
      </c>
      <c r="D206">
        <v>0</v>
      </c>
      <c r="E206" t="s">
        <v>1113</v>
      </c>
      <c r="F206" t="s">
        <v>1987</v>
      </c>
      <c r="G206">
        <v>21</v>
      </c>
      <c r="H206">
        <v>10</v>
      </c>
      <c r="I206">
        <v>-3.0758000000000001</v>
      </c>
      <c r="J206">
        <v>205</v>
      </c>
      <c r="K206">
        <v>0.4168</v>
      </c>
      <c r="L206">
        <v>207</v>
      </c>
      <c r="M206">
        <v>103.735</v>
      </c>
      <c r="N206">
        <v>277</v>
      </c>
      <c r="O206">
        <v>108.105</v>
      </c>
      <c r="P206">
        <v>182</v>
      </c>
      <c r="Q206">
        <v>106.81100000000001</v>
      </c>
      <c r="R206">
        <v>124</v>
      </c>
      <c r="S206">
        <v>98.145399999999995</v>
      </c>
      <c r="T206">
        <v>16</v>
      </c>
      <c r="U206">
        <v>69.253799999999998</v>
      </c>
      <c r="V206">
        <v>132</v>
      </c>
      <c r="W206">
        <v>69.068100000000001</v>
      </c>
      <c r="X206">
        <v>89</v>
      </c>
      <c r="Y206">
        <v>-2.29E-2</v>
      </c>
      <c r="Z206">
        <v>248</v>
      </c>
      <c r="AA206">
        <v>-13.901400000000001</v>
      </c>
      <c r="AB206">
        <v>364</v>
      </c>
      <c r="AC206">
        <v>100.932</v>
      </c>
      <c r="AD206">
        <v>363</v>
      </c>
      <c r="AE206">
        <v>114.833</v>
      </c>
      <c r="AF206">
        <v>358</v>
      </c>
      <c r="AG206">
        <v>-1.7282999999999999</v>
      </c>
      <c r="AH206">
        <v>233</v>
      </c>
      <c r="AJ206">
        <v>17.190000000000001</v>
      </c>
      <c r="AK206">
        <v>133</v>
      </c>
      <c r="AL206">
        <v>17.36</v>
      </c>
      <c r="AM206">
        <v>139</v>
      </c>
      <c r="AN206">
        <v>16.7</v>
      </c>
      <c r="AO206">
        <v>2</v>
      </c>
      <c r="AP206">
        <v>17.57</v>
      </c>
      <c r="AQ206">
        <v>3</v>
      </c>
    </row>
    <row r="207" spans="1:43" x14ac:dyDescent="0.2">
      <c r="A207" t="s">
        <v>1782</v>
      </c>
      <c r="B207">
        <v>2026</v>
      </c>
      <c r="C207" t="s">
        <v>323</v>
      </c>
      <c r="D207">
        <v>0</v>
      </c>
      <c r="E207" t="s">
        <v>1084</v>
      </c>
      <c r="F207" t="s">
        <v>1988</v>
      </c>
      <c r="G207">
        <v>19</v>
      </c>
      <c r="H207">
        <v>12</v>
      </c>
      <c r="I207">
        <v>-3.0787</v>
      </c>
      <c r="J207">
        <v>206</v>
      </c>
      <c r="K207">
        <v>0.41339999999999999</v>
      </c>
      <c r="L207">
        <v>208</v>
      </c>
      <c r="M207">
        <v>99.687200000000004</v>
      </c>
      <c r="N207">
        <v>329</v>
      </c>
      <c r="O207">
        <v>103.13800000000001</v>
      </c>
      <c r="P207">
        <v>284</v>
      </c>
      <c r="Q207">
        <v>102.76600000000001</v>
      </c>
      <c r="R207">
        <v>56</v>
      </c>
      <c r="S207">
        <v>95.867000000000004</v>
      </c>
      <c r="T207">
        <v>5</v>
      </c>
      <c r="U207">
        <v>66.492800000000003</v>
      </c>
      <c r="V207">
        <v>276</v>
      </c>
      <c r="W207">
        <v>66.339399999999998</v>
      </c>
      <c r="X207">
        <v>235</v>
      </c>
      <c r="Y207">
        <v>-2.7199999999999998E-2</v>
      </c>
      <c r="Z207">
        <v>258</v>
      </c>
      <c r="AA207">
        <v>-8.9533000000000005</v>
      </c>
      <c r="AB207">
        <v>336</v>
      </c>
      <c r="AC207">
        <v>104.08199999999999</v>
      </c>
      <c r="AD207">
        <v>321</v>
      </c>
      <c r="AE207">
        <v>113.035</v>
      </c>
      <c r="AF207">
        <v>316</v>
      </c>
      <c r="AG207">
        <v>-7.3159999999999998</v>
      </c>
      <c r="AH207">
        <v>337</v>
      </c>
      <c r="AJ207">
        <v>17.64</v>
      </c>
      <c r="AK207">
        <v>187</v>
      </c>
      <c r="AL207">
        <v>18.350000000000001</v>
      </c>
      <c r="AM207">
        <v>340</v>
      </c>
      <c r="AN207">
        <v>17.45</v>
      </c>
      <c r="AO207">
        <v>3</v>
      </c>
      <c r="AP207">
        <v>18.71</v>
      </c>
      <c r="AQ207">
        <v>10</v>
      </c>
    </row>
    <row r="208" spans="1:43" x14ac:dyDescent="0.2">
      <c r="A208" t="s">
        <v>1782</v>
      </c>
      <c r="B208">
        <v>2026</v>
      </c>
      <c r="C208" t="s">
        <v>539</v>
      </c>
      <c r="D208">
        <v>0</v>
      </c>
      <c r="E208" t="s">
        <v>1045</v>
      </c>
      <c r="F208" t="s">
        <v>1989</v>
      </c>
      <c r="G208">
        <v>21</v>
      </c>
      <c r="H208">
        <v>11</v>
      </c>
      <c r="I208">
        <v>-3.1604999999999999</v>
      </c>
      <c r="J208">
        <v>207</v>
      </c>
      <c r="K208">
        <v>0.41720000000000002</v>
      </c>
      <c r="L208">
        <v>206</v>
      </c>
      <c r="M208">
        <v>107.193</v>
      </c>
      <c r="N208">
        <v>212</v>
      </c>
      <c r="O208">
        <v>108.887</v>
      </c>
      <c r="P208">
        <v>168</v>
      </c>
      <c r="Q208">
        <v>110.354</v>
      </c>
      <c r="R208">
        <v>196</v>
      </c>
      <c r="S208">
        <v>105.664</v>
      </c>
      <c r="T208">
        <v>105</v>
      </c>
      <c r="U208">
        <v>65.728999999999999</v>
      </c>
      <c r="V208">
        <v>310</v>
      </c>
      <c r="W208">
        <v>64.644300000000001</v>
      </c>
      <c r="X208">
        <v>324</v>
      </c>
      <c r="Y208">
        <v>5.7799999999999997E-2</v>
      </c>
      <c r="Z208">
        <v>47</v>
      </c>
      <c r="AA208">
        <v>-6.0967000000000002</v>
      </c>
      <c r="AB208">
        <v>287</v>
      </c>
      <c r="AC208">
        <v>106.099</v>
      </c>
      <c r="AD208">
        <v>289</v>
      </c>
      <c r="AE208">
        <v>112.196</v>
      </c>
      <c r="AF208">
        <v>279</v>
      </c>
      <c r="AG208">
        <v>-5.3871000000000002</v>
      </c>
      <c r="AH208">
        <v>306</v>
      </c>
      <c r="AJ208">
        <v>17.68</v>
      </c>
      <c r="AK208">
        <v>193</v>
      </c>
      <c r="AL208">
        <v>18.52</v>
      </c>
      <c r="AM208">
        <v>347</v>
      </c>
      <c r="AN208">
        <v>17.86</v>
      </c>
      <c r="AO208">
        <v>8</v>
      </c>
      <c r="AP208">
        <v>18.64</v>
      </c>
      <c r="AQ208">
        <v>13</v>
      </c>
    </row>
    <row r="209" spans="1:43" x14ac:dyDescent="0.2">
      <c r="A209" t="s">
        <v>1782</v>
      </c>
      <c r="B209">
        <v>2026</v>
      </c>
      <c r="C209" t="s">
        <v>327</v>
      </c>
      <c r="D209">
        <v>0</v>
      </c>
      <c r="E209" t="s">
        <v>1045</v>
      </c>
      <c r="F209" t="s">
        <v>1990</v>
      </c>
      <c r="G209">
        <v>19</v>
      </c>
      <c r="H209">
        <v>13</v>
      </c>
      <c r="I209">
        <v>-3.2271999999999998</v>
      </c>
      <c r="J209">
        <v>208</v>
      </c>
      <c r="K209">
        <v>0.41920000000000002</v>
      </c>
      <c r="L209">
        <v>205</v>
      </c>
      <c r="M209">
        <v>112.164</v>
      </c>
      <c r="N209">
        <v>119</v>
      </c>
      <c r="O209">
        <v>113.99</v>
      </c>
      <c r="P209">
        <v>74</v>
      </c>
      <c r="Q209">
        <v>115.392</v>
      </c>
      <c r="R209">
        <v>298</v>
      </c>
      <c r="S209">
        <v>111.6</v>
      </c>
      <c r="T209">
        <v>260</v>
      </c>
      <c r="U209">
        <v>70.682699999999997</v>
      </c>
      <c r="V209">
        <v>68</v>
      </c>
      <c r="W209">
        <v>69.308800000000005</v>
      </c>
      <c r="X209">
        <v>76</v>
      </c>
      <c r="Y209">
        <v>3.3799999999999997E-2</v>
      </c>
      <c r="Z209">
        <v>101</v>
      </c>
      <c r="AA209">
        <v>-4.2857000000000003</v>
      </c>
      <c r="AB209">
        <v>253</v>
      </c>
      <c r="AC209">
        <v>107.506</v>
      </c>
      <c r="AD209">
        <v>257</v>
      </c>
      <c r="AE209">
        <v>111.792</v>
      </c>
      <c r="AF209">
        <v>259</v>
      </c>
      <c r="AG209">
        <v>-1.2171000000000001</v>
      </c>
      <c r="AH209">
        <v>221</v>
      </c>
      <c r="AJ209">
        <v>15.48</v>
      </c>
      <c r="AK209">
        <v>12</v>
      </c>
      <c r="AL209">
        <v>18.32</v>
      </c>
      <c r="AM209">
        <v>337</v>
      </c>
      <c r="AN209">
        <v>15.38</v>
      </c>
      <c r="AO209">
        <v>2</v>
      </c>
      <c r="AP209">
        <v>18.82</v>
      </c>
      <c r="AQ209">
        <v>14</v>
      </c>
    </row>
    <row r="210" spans="1:43" x14ac:dyDescent="0.2">
      <c r="A210" t="s">
        <v>1782</v>
      </c>
      <c r="B210">
        <v>2026</v>
      </c>
      <c r="C210" t="s">
        <v>265</v>
      </c>
      <c r="D210">
        <v>0</v>
      </c>
      <c r="E210" t="s">
        <v>1003</v>
      </c>
      <c r="F210" t="s">
        <v>1991</v>
      </c>
      <c r="G210">
        <v>15</v>
      </c>
      <c r="H210">
        <v>17</v>
      </c>
      <c r="I210">
        <v>-3.3824999999999998</v>
      </c>
      <c r="J210">
        <v>209</v>
      </c>
      <c r="K210">
        <v>0.41010000000000002</v>
      </c>
      <c r="L210">
        <v>210</v>
      </c>
      <c r="M210">
        <v>105.318</v>
      </c>
      <c r="N210">
        <v>253</v>
      </c>
      <c r="O210">
        <v>105.664</v>
      </c>
      <c r="P210">
        <v>239</v>
      </c>
      <c r="Q210">
        <v>108.7</v>
      </c>
      <c r="R210">
        <v>158</v>
      </c>
      <c r="S210">
        <v>106.634</v>
      </c>
      <c r="T210">
        <v>128</v>
      </c>
      <c r="U210">
        <v>65.765900000000002</v>
      </c>
      <c r="V210">
        <v>307</v>
      </c>
      <c r="W210">
        <v>65.329800000000006</v>
      </c>
      <c r="X210">
        <v>292</v>
      </c>
      <c r="Y210">
        <v>-5.6899999999999999E-2</v>
      </c>
      <c r="Z210">
        <v>320</v>
      </c>
      <c r="AA210">
        <v>-2.9722</v>
      </c>
      <c r="AB210">
        <v>220</v>
      </c>
      <c r="AC210">
        <v>107.92400000000001</v>
      </c>
      <c r="AD210">
        <v>243</v>
      </c>
      <c r="AE210">
        <v>110.896</v>
      </c>
      <c r="AF210">
        <v>216</v>
      </c>
      <c r="AG210">
        <v>-6.3697999999999997</v>
      </c>
      <c r="AH210">
        <v>321</v>
      </c>
      <c r="AJ210">
        <v>18.73</v>
      </c>
      <c r="AK210">
        <v>311</v>
      </c>
      <c r="AL210">
        <v>17.649999999999999</v>
      </c>
      <c r="AM210">
        <v>213</v>
      </c>
      <c r="AN210">
        <v>18.91</v>
      </c>
      <c r="AO210">
        <v>11</v>
      </c>
      <c r="AP210">
        <v>17.36</v>
      </c>
      <c r="AQ210">
        <v>2</v>
      </c>
    </row>
    <row r="211" spans="1:43" x14ac:dyDescent="0.2">
      <c r="A211" t="s">
        <v>1782</v>
      </c>
      <c r="B211">
        <v>2026</v>
      </c>
      <c r="C211" t="s">
        <v>217</v>
      </c>
      <c r="D211">
        <v>0</v>
      </c>
      <c r="E211" t="s">
        <v>1040</v>
      </c>
      <c r="F211" t="s">
        <v>1992</v>
      </c>
      <c r="G211">
        <v>18</v>
      </c>
      <c r="H211">
        <v>15</v>
      </c>
      <c r="I211">
        <v>-3.4860000000000002</v>
      </c>
      <c r="J211">
        <v>210</v>
      </c>
      <c r="K211">
        <v>0.4133</v>
      </c>
      <c r="L211">
        <v>209</v>
      </c>
      <c r="M211">
        <v>112.711</v>
      </c>
      <c r="N211">
        <v>112</v>
      </c>
      <c r="O211">
        <v>113.63800000000001</v>
      </c>
      <c r="P211">
        <v>78</v>
      </c>
      <c r="Q211">
        <v>116.197</v>
      </c>
      <c r="R211">
        <v>308</v>
      </c>
      <c r="S211">
        <v>116.434</v>
      </c>
      <c r="T211">
        <v>338</v>
      </c>
      <c r="U211">
        <v>64.706100000000006</v>
      </c>
      <c r="V211">
        <v>337</v>
      </c>
      <c r="W211">
        <v>62.877200000000002</v>
      </c>
      <c r="X211">
        <v>361</v>
      </c>
      <c r="Y211">
        <v>6.4299999999999996E-2</v>
      </c>
      <c r="Z211">
        <v>39</v>
      </c>
      <c r="AA211">
        <v>-2.1231</v>
      </c>
      <c r="AB211">
        <v>206</v>
      </c>
      <c r="AC211">
        <v>110.129</v>
      </c>
      <c r="AD211">
        <v>120</v>
      </c>
      <c r="AE211">
        <v>112.252</v>
      </c>
      <c r="AF211">
        <v>282</v>
      </c>
      <c r="AG211">
        <v>6.3399000000000001</v>
      </c>
      <c r="AH211">
        <v>47</v>
      </c>
      <c r="AJ211">
        <v>19.649999999999999</v>
      </c>
      <c r="AK211">
        <v>361</v>
      </c>
      <c r="AL211">
        <v>17.309999999999999</v>
      </c>
      <c r="AM211">
        <v>131</v>
      </c>
      <c r="AN211">
        <v>19.739999999999998</v>
      </c>
      <c r="AO211">
        <v>11</v>
      </c>
      <c r="AP211">
        <v>17.13</v>
      </c>
      <c r="AQ211">
        <v>4</v>
      </c>
    </row>
    <row r="212" spans="1:43" x14ac:dyDescent="0.2">
      <c r="A212" t="s">
        <v>1782</v>
      </c>
      <c r="B212">
        <v>2026</v>
      </c>
      <c r="C212" t="s">
        <v>77</v>
      </c>
      <c r="D212">
        <v>0</v>
      </c>
      <c r="E212" t="s">
        <v>1001</v>
      </c>
      <c r="F212" t="s">
        <v>1993</v>
      </c>
      <c r="G212">
        <v>14</v>
      </c>
      <c r="H212">
        <v>19</v>
      </c>
      <c r="I212">
        <v>-3.6435</v>
      </c>
      <c r="J212">
        <v>211</v>
      </c>
      <c r="K212">
        <v>0.40710000000000002</v>
      </c>
      <c r="L212">
        <v>211</v>
      </c>
      <c r="M212">
        <v>109.614</v>
      </c>
      <c r="N212">
        <v>165</v>
      </c>
      <c r="O212">
        <v>106.41200000000001</v>
      </c>
      <c r="P212">
        <v>220</v>
      </c>
      <c r="Q212">
        <v>113.258</v>
      </c>
      <c r="R212">
        <v>256</v>
      </c>
      <c r="S212">
        <v>111.955</v>
      </c>
      <c r="T212">
        <v>271</v>
      </c>
      <c r="U212">
        <v>76.099199999999996</v>
      </c>
      <c r="V212">
        <v>1</v>
      </c>
      <c r="W212">
        <v>73.996200000000002</v>
      </c>
      <c r="X212">
        <v>1</v>
      </c>
      <c r="Y212">
        <v>-2.8999999999999998E-3</v>
      </c>
      <c r="Z212">
        <v>199</v>
      </c>
      <c r="AA212">
        <v>1.2814000000000001</v>
      </c>
      <c r="AB212">
        <v>121</v>
      </c>
      <c r="AC212">
        <v>108.72199999999999</v>
      </c>
      <c r="AD212">
        <v>189</v>
      </c>
      <c r="AE212">
        <v>107.44</v>
      </c>
      <c r="AF212">
        <v>101</v>
      </c>
      <c r="AG212">
        <v>5.1881000000000004</v>
      </c>
      <c r="AH212">
        <v>69</v>
      </c>
      <c r="AJ212">
        <v>14.53</v>
      </c>
      <c r="AK212">
        <v>2</v>
      </c>
      <c r="AL212">
        <v>17.27</v>
      </c>
      <c r="AM212">
        <v>118</v>
      </c>
      <c r="AN212">
        <v>14.55</v>
      </c>
      <c r="AO212">
        <v>1</v>
      </c>
      <c r="AP212">
        <v>17.48</v>
      </c>
      <c r="AQ212">
        <v>10</v>
      </c>
    </row>
    <row r="213" spans="1:43" x14ac:dyDescent="0.2">
      <c r="A213" t="s">
        <v>1782</v>
      </c>
      <c r="B213">
        <v>2026</v>
      </c>
      <c r="C213" t="s">
        <v>617</v>
      </c>
      <c r="D213">
        <v>0</v>
      </c>
      <c r="E213" t="s">
        <v>940</v>
      </c>
      <c r="F213" t="s">
        <v>1994</v>
      </c>
      <c r="G213">
        <v>18</v>
      </c>
      <c r="H213">
        <v>15</v>
      </c>
      <c r="I213">
        <v>-3.6600999999999999</v>
      </c>
      <c r="J213">
        <v>212</v>
      </c>
      <c r="K213">
        <v>0.4052</v>
      </c>
      <c r="L213">
        <v>212</v>
      </c>
      <c r="M213">
        <v>107.822</v>
      </c>
      <c r="N213">
        <v>197</v>
      </c>
      <c r="O213">
        <v>105.17400000000001</v>
      </c>
      <c r="P213">
        <v>248</v>
      </c>
      <c r="Q213">
        <v>111.482</v>
      </c>
      <c r="R213">
        <v>216</v>
      </c>
      <c r="S213">
        <v>110.175</v>
      </c>
      <c r="T213">
        <v>224</v>
      </c>
      <c r="U213">
        <v>67.920699999999997</v>
      </c>
      <c r="V213">
        <v>207</v>
      </c>
      <c r="W213">
        <v>66.892899999999997</v>
      </c>
      <c r="X213">
        <v>206</v>
      </c>
      <c r="Y213">
        <v>0.12130000000000001</v>
      </c>
      <c r="Z213">
        <v>5</v>
      </c>
      <c r="AA213">
        <v>0.18609999999999999</v>
      </c>
      <c r="AB213">
        <v>147</v>
      </c>
      <c r="AC213">
        <v>108.479</v>
      </c>
      <c r="AD213">
        <v>202</v>
      </c>
      <c r="AE213">
        <v>108.29300000000001</v>
      </c>
      <c r="AF213">
        <v>125</v>
      </c>
      <c r="AG213">
        <v>-3.7488000000000001</v>
      </c>
      <c r="AH213">
        <v>282</v>
      </c>
      <c r="AJ213">
        <v>17.02</v>
      </c>
      <c r="AK213">
        <v>108</v>
      </c>
      <c r="AL213">
        <v>18.3</v>
      </c>
      <c r="AM213">
        <v>336</v>
      </c>
      <c r="AN213">
        <v>16.95</v>
      </c>
      <c r="AO213">
        <v>5</v>
      </c>
      <c r="AP213">
        <v>17.97</v>
      </c>
      <c r="AQ213">
        <v>11</v>
      </c>
    </row>
    <row r="214" spans="1:43" x14ac:dyDescent="0.2">
      <c r="A214" t="s">
        <v>1782</v>
      </c>
      <c r="B214">
        <v>2026</v>
      </c>
      <c r="C214" t="s">
        <v>521</v>
      </c>
      <c r="D214">
        <v>0</v>
      </c>
      <c r="E214" t="s">
        <v>1071</v>
      </c>
      <c r="F214" t="s">
        <v>1995</v>
      </c>
      <c r="G214">
        <v>18</v>
      </c>
      <c r="H214">
        <v>14</v>
      </c>
      <c r="I214">
        <v>-3.8944000000000001</v>
      </c>
      <c r="J214">
        <v>213</v>
      </c>
      <c r="K214">
        <v>0.40110000000000001</v>
      </c>
      <c r="L214">
        <v>213</v>
      </c>
      <c r="M214">
        <v>109.813</v>
      </c>
      <c r="N214">
        <v>160</v>
      </c>
      <c r="O214">
        <v>112.459</v>
      </c>
      <c r="P214">
        <v>98</v>
      </c>
      <c r="Q214">
        <v>113.70699999999999</v>
      </c>
      <c r="R214">
        <v>265</v>
      </c>
      <c r="S214">
        <v>111.21899999999999</v>
      </c>
      <c r="T214">
        <v>248</v>
      </c>
      <c r="U214">
        <v>68.448800000000006</v>
      </c>
      <c r="V214">
        <v>177</v>
      </c>
      <c r="W214">
        <v>67.249700000000004</v>
      </c>
      <c r="X214">
        <v>184</v>
      </c>
      <c r="Y214">
        <v>9.1999999999999998E-3</v>
      </c>
      <c r="Z214">
        <v>162</v>
      </c>
      <c r="AA214">
        <v>-5.9553000000000003</v>
      </c>
      <c r="AB214">
        <v>284</v>
      </c>
      <c r="AC214">
        <v>108.104</v>
      </c>
      <c r="AD214">
        <v>228</v>
      </c>
      <c r="AE214">
        <v>114.059</v>
      </c>
      <c r="AF214">
        <v>347</v>
      </c>
      <c r="AG214">
        <v>0.27200000000000002</v>
      </c>
      <c r="AH214">
        <v>177</v>
      </c>
      <c r="AJ214">
        <v>17.5</v>
      </c>
      <c r="AK214">
        <v>175</v>
      </c>
      <c r="AL214">
        <v>17.38</v>
      </c>
      <c r="AM214">
        <v>143</v>
      </c>
      <c r="AN214">
        <v>17.55</v>
      </c>
      <c r="AO214">
        <v>4</v>
      </c>
      <c r="AP214">
        <v>17.71</v>
      </c>
      <c r="AQ214">
        <v>5</v>
      </c>
    </row>
    <row r="215" spans="1:43" x14ac:dyDescent="0.2">
      <c r="A215" t="s">
        <v>1782</v>
      </c>
      <c r="B215">
        <v>2026</v>
      </c>
      <c r="C215" t="s">
        <v>301</v>
      </c>
      <c r="D215">
        <v>0</v>
      </c>
      <c r="E215" t="s">
        <v>1123</v>
      </c>
      <c r="F215" t="s">
        <v>1996</v>
      </c>
      <c r="G215">
        <v>24</v>
      </c>
      <c r="H215">
        <v>10</v>
      </c>
      <c r="I215">
        <v>-3.9264000000000001</v>
      </c>
      <c r="J215">
        <v>214</v>
      </c>
      <c r="K215">
        <v>0.39679999999999999</v>
      </c>
      <c r="L215">
        <v>215</v>
      </c>
      <c r="M215">
        <v>105.82599999999999</v>
      </c>
      <c r="N215">
        <v>238</v>
      </c>
      <c r="O215">
        <v>108.425</v>
      </c>
      <c r="P215">
        <v>176</v>
      </c>
      <c r="Q215">
        <v>109.752</v>
      </c>
      <c r="R215">
        <v>187</v>
      </c>
      <c r="S215">
        <v>103.621</v>
      </c>
      <c r="T215">
        <v>71</v>
      </c>
      <c r="U215">
        <v>68.138800000000003</v>
      </c>
      <c r="V215">
        <v>194</v>
      </c>
      <c r="W215">
        <v>67.811899999999994</v>
      </c>
      <c r="X215">
        <v>153</v>
      </c>
      <c r="Y215">
        <v>0.10390000000000001</v>
      </c>
      <c r="Z215">
        <v>12</v>
      </c>
      <c r="AA215">
        <v>-9.9815000000000005</v>
      </c>
      <c r="AB215">
        <v>351</v>
      </c>
      <c r="AC215">
        <v>103.711</v>
      </c>
      <c r="AD215">
        <v>334</v>
      </c>
      <c r="AE215">
        <v>113.69199999999999</v>
      </c>
      <c r="AF215">
        <v>342</v>
      </c>
      <c r="AG215">
        <v>2.1387</v>
      </c>
      <c r="AH215">
        <v>120</v>
      </c>
      <c r="AJ215">
        <v>17.21</v>
      </c>
      <c r="AK215">
        <v>135</v>
      </c>
      <c r="AL215">
        <v>17.84</v>
      </c>
      <c r="AM215">
        <v>253</v>
      </c>
      <c r="AN215">
        <v>17.46</v>
      </c>
      <c r="AO215">
        <v>3</v>
      </c>
      <c r="AP215">
        <v>18.53</v>
      </c>
      <c r="AQ215">
        <v>6</v>
      </c>
    </row>
    <row r="216" spans="1:43" x14ac:dyDescent="0.2">
      <c r="A216" t="s">
        <v>1782</v>
      </c>
      <c r="B216">
        <v>2026</v>
      </c>
      <c r="C216" t="s">
        <v>267</v>
      </c>
      <c r="D216">
        <v>0</v>
      </c>
      <c r="E216" t="s">
        <v>1045</v>
      </c>
      <c r="F216" t="s">
        <v>1997</v>
      </c>
      <c r="G216">
        <v>18</v>
      </c>
      <c r="H216">
        <v>15</v>
      </c>
      <c r="I216">
        <v>-3.9437000000000002</v>
      </c>
      <c r="J216">
        <v>215</v>
      </c>
      <c r="K216">
        <v>0.39939999999999998</v>
      </c>
      <c r="L216">
        <v>214</v>
      </c>
      <c r="M216">
        <v>109.244</v>
      </c>
      <c r="N216">
        <v>174</v>
      </c>
      <c r="O216">
        <v>110.64</v>
      </c>
      <c r="P216">
        <v>129</v>
      </c>
      <c r="Q216">
        <v>113.187</v>
      </c>
      <c r="R216">
        <v>253</v>
      </c>
      <c r="S216">
        <v>110.05</v>
      </c>
      <c r="T216">
        <v>221</v>
      </c>
      <c r="U216">
        <v>67.0184</v>
      </c>
      <c r="V216">
        <v>247</v>
      </c>
      <c r="W216">
        <v>65.995900000000006</v>
      </c>
      <c r="X216">
        <v>256</v>
      </c>
      <c r="Y216">
        <v>1.7299999999999999E-2</v>
      </c>
      <c r="Z216">
        <v>133</v>
      </c>
      <c r="AA216">
        <v>-4.9562999999999997</v>
      </c>
      <c r="AB216">
        <v>263</v>
      </c>
      <c r="AC216">
        <v>106.693</v>
      </c>
      <c r="AD216">
        <v>277</v>
      </c>
      <c r="AE216">
        <v>111.65</v>
      </c>
      <c r="AF216">
        <v>247</v>
      </c>
      <c r="AG216">
        <v>-2.8073999999999999</v>
      </c>
      <c r="AH216">
        <v>261</v>
      </c>
      <c r="AJ216">
        <v>18.510000000000002</v>
      </c>
      <c r="AK216">
        <v>294</v>
      </c>
      <c r="AL216">
        <v>17.170000000000002</v>
      </c>
      <c r="AM216">
        <v>97</v>
      </c>
      <c r="AN216">
        <v>18.43</v>
      </c>
      <c r="AO216">
        <v>10</v>
      </c>
      <c r="AP216">
        <v>17.62</v>
      </c>
      <c r="AQ216">
        <v>8</v>
      </c>
    </row>
    <row r="217" spans="1:43" x14ac:dyDescent="0.2">
      <c r="A217" t="s">
        <v>1782</v>
      </c>
      <c r="B217">
        <v>2026</v>
      </c>
      <c r="C217" t="s">
        <v>727</v>
      </c>
      <c r="D217">
        <v>0</v>
      </c>
      <c r="E217" t="s">
        <v>1040</v>
      </c>
      <c r="F217" t="s">
        <v>1998</v>
      </c>
      <c r="G217">
        <v>15</v>
      </c>
      <c r="H217">
        <v>17</v>
      </c>
      <c r="I217">
        <v>-3.9552999999999998</v>
      </c>
      <c r="J217">
        <v>216</v>
      </c>
      <c r="K217">
        <v>0.39589999999999997</v>
      </c>
      <c r="L217">
        <v>216</v>
      </c>
      <c r="M217">
        <v>105.649</v>
      </c>
      <c r="N217">
        <v>243</v>
      </c>
      <c r="O217">
        <v>109.127</v>
      </c>
      <c r="P217">
        <v>161</v>
      </c>
      <c r="Q217">
        <v>109.604</v>
      </c>
      <c r="R217">
        <v>184</v>
      </c>
      <c r="S217">
        <v>108.84099999999999</v>
      </c>
      <c r="T217">
        <v>190</v>
      </c>
      <c r="U217">
        <v>68.630799999999994</v>
      </c>
      <c r="V217">
        <v>166</v>
      </c>
      <c r="W217">
        <v>67.224000000000004</v>
      </c>
      <c r="X217">
        <v>186</v>
      </c>
      <c r="Y217">
        <v>-9.2100000000000001E-2</v>
      </c>
      <c r="Z217">
        <v>352</v>
      </c>
      <c r="AA217">
        <v>-3.8239000000000001</v>
      </c>
      <c r="AB217">
        <v>239</v>
      </c>
      <c r="AC217">
        <v>109.651</v>
      </c>
      <c r="AD217">
        <v>141</v>
      </c>
      <c r="AE217">
        <v>113.474</v>
      </c>
      <c r="AF217">
        <v>336</v>
      </c>
      <c r="AG217">
        <v>-1.6386000000000001</v>
      </c>
      <c r="AH217">
        <v>229</v>
      </c>
      <c r="AJ217">
        <v>18.02</v>
      </c>
      <c r="AK217">
        <v>239</v>
      </c>
      <c r="AL217">
        <v>17.07</v>
      </c>
      <c r="AM217">
        <v>78</v>
      </c>
      <c r="AN217">
        <v>18.36</v>
      </c>
      <c r="AO217">
        <v>9</v>
      </c>
      <c r="AP217">
        <v>17.05</v>
      </c>
      <c r="AQ217">
        <v>2</v>
      </c>
    </row>
    <row r="218" spans="1:43" x14ac:dyDescent="0.2">
      <c r="A218" t="s">
        <v>1782</v>
      </c>
      <c r="B218">
        <v>2026</v>
      </c>
      <c r="C218" t="s">
        <v>145</v>
      </c>
      <c r="D218">
        <v>0</v>
      </c>
      <c r="E218" t="s">
        <v>1040</v>
      </c>
      <c r="F218" t="s">
        <v>1999</v>
      </c>
      <c r="G218">
        <v>17</v>
      </c>
      <c r="H218">
        <v>15</v>
      </c>
      <c r="I218">
        <v>-4.1748000000000003</v>
      </c>
      <c r="J218">
        <v>217</v>
      </c>
      <c r="K218">
        <v>0.39279999999999998</v>
      </c>
      <c r="L218">
        <v>217</v>
      </c>
      <c r="M218">
        <v>108.10899999999999</v>
      </c>
      <c r="N218">
        <v>190</v>
      </c>
      <c r="O218">
        <v>109.43899999999999</v>
      </c>
      <c r="P218">
        <v>150</v>
      </c>
      <c r="Q218">
        <v>112.28400000000001</v>
      </c>
      <c r="R218">
        <v>236</v>
      </c>
      <c r="S218">
        <v>112.596</v>
      </c>
      <c r="T218">
        <v>281</v>
      </c>
      <c r="U218">
        <v>69.752499999999998</v>
      </c>
      <c r="V218">
        <v>103</v>
      </c>
      <c r="W218">
        <v>68.799099999999996</v>
      </c>
      <c r="X218">
        <v>104</v>
      </c>
      <c r="Y218">
        <v>6.6699999999999995E-2</v>
      </c>
      <c r="Z218">
        <v>36</v>
      </c>
      <c r="AA218">
        <v>-2.4211999999999998</v>
      </c>
      <c r="AB218">
        <v>212</v>
      </c>
      <c r="AC218">
        <v>109.718</v>
      </c>
      <c r="AD218">
        <v>137</v>
      </c>
      <c r="AE218">
        <v>112.139</v>
      </c>
      <c r="AF218">
        <v>275</v>
      </c>
      <c r="AG218">
        <v>7.6086999999999998</v>
      </c>
      <c r="AH218">
        <v>38</v>
      </c>
      <c r="AJ218">
        <v>17.45</v>
      </c>
      <c r="AK218">
        <v>165</v>
      </c>
      <c r="AL218">
        <v>17.010000000000002</v>
      </c>
      <c r="AM218">
        <v>66</v>
      </c>
      <c r="AN218">
        <v>17.38</v>
      </c>
      <c r="AO218">
        <v>7</v>
      </c>
      <c r="AP218">
        <v>17.2</v>
      </c>
      <c r="AQ218">
        <v>5</v>
      </c>
    </row>
    <row r="219" spans="1:43" x14ac:dyDescent="0.2">
      <c r="A219" t="s">
        <v>1782</v>
      </c>
      <c r="B219">
        <v>2026</v>
      </c>
      <c r="C219" t="s">
        <v>561</v>
      </c>
      <c r="D219">
        <v>0</v>
      </c>
      <c r="E219" t="s">
        <v>1045</v>
      </c>
      <c r="F219" t="s">
        <v>2000</v>
      </c>
      <c r="G219">
        <v>19</v>
      </c>
      <c r="H219">
        <v>16</v>
      </c>
      <c r="I219">
        <v>-4.18</v>
      </c>
      <c r="J219">
        <v>218</v>
      </c>
      <c r="K219">
        <v>0.39</v>
      </c>
      <c r="L219">
        <v>219</v>
      </c>
      <c r="M219">
        <v>105.393</v>
      </c>
      <c r="N219">
        <v>250</v>
      </c>
      <c r="O219">
        <v>105.556</v>
      </c>
      <c r="P219">
        <v>241</v>
      </c>
      <c r="Q219">
        <v>109.57299999999999</v>
      </c>
      <c r="R219">
        <v>183</v>
      </c>
      <c r="S219">
        <v>106.66500000000001</v>
      </c>
      <c r="T219">
        <v>129</v>
      </c>
      <c r="U219">
        <v>69.618099999999998</v>
      </c>
      <c r="V219">
        <v>114</v>
      </c>
      <c r="W219">
        <v>69.297600000000003</v>
      </c>
      <c r="X219">
        <v>77</v>
      </c>
      <c r="Y219">
        <v>4.2599999999999999E-2</v>
      </c>
      <c r="Z219">
        <v>76</v>
      </c>
      <c r="AA219">
        <v>-3.7231000000000001</v>
      </c>
      <c r="AB219">
        <v>235</v>
      </c>
      <c r="AC219">
        <v>107.245</v>
      </c>
      <c r="AD219">
        <v>264</v>
      </c>
      <c r="AE219">
        <v>110.968</v>
      </c>
      <c r="AF219">
        <v>221</v>
      </c>
      <c r="AG219">
        <v>1.1384000000000001</v>
      </c>
      <c r="AH219">
        <v>145</v>
      </c>
      <c r="AJ219">
        <v>17.690000000000001</v>
      </c>
      <c r="AK219">
        <v>197</v>
      </c>
      <c r="AL219">
        <v>16.8</v>
      </c>
      <c r="AM219">
        <v>34</v>
      </c>
      <c r="AN219">
        <v>17.579999999999998</v>
      </c>
      <c r="AO219">
        <v>7</v>
      </c>
      <c r="AP219">
        <v>16.57</v>
      </c>
      <c r="AQ219">
        <v>2</v>
      </c>
    </row>
    <row r="220" spans="1:43" x14ac:dyDescent="0.2">
      <c r="A220" t="s">
        <v>1782</v>
      </c>
      <c r="B220">
        <v>2026</v>
      </c>
      <c r="C220" t="s">
        <v>485</v>
      </c>
      <c r="D220">
        <v>0</v>
      </c>
      <c r="E220" t="s">
        <v>1084</v>
      </c>
      <c r="F220" t="s">
        <v>2001</v>
      </c>
      <c r="G220">
        <v>19</v>
      </c>
      <c r="H220">
        <v>13</v>
      </c>
      <c r="I220">
        <v>-4.2670000000000003</v>
      </c>
      <c r="J220">
        <v>219</v>
      </c>
      <c r="K220">
        <v>0.38679999999999998</v>
      </c>
      <c r="L220">
        <v>220</v>
      </c>
      <c r="M220">
        <v>104.343</v>
      </c>
      <c r="N220">
        <v>267</v>
      </c>
      <c r="O220">
        <v>105.30200000000001</v>
      </c>
      <c r="P220">
        <v>244</v>
      </c>
      <c r="Q220">
        <v>108.61</v>
      </c>
      <c r="R220">
        <v>155</v>
      </c>
      <c r="S220">
        <v>102.807</v>
      </c>
      <c r="T220">
        <v>61</v>
      </c>
      <c r="U220">
        <v>69.772599999999997</v>
      </c>
      <c r="V220">
        <v>101</v>
      </c>
      <c r="W220">
        <v>69.882499999999993</v>
      </c>
      <c r="X220">
        <v>52</v>
      </c>
      <c r="Y220">
        <v>2.7099999999999999E-2</v>
      </c>
      <c r="Z220">
        <v>119</v>
      </c>
      <c r="AA220">
        <v>-7.4927999999999999</v>
      </c>
      <c r="AB220">
        <v>308</v>
      </c>
      <c r="AC220">
        <v>104.114</v>
      </c>
      <c r="AD220">
        <v>318</v>
      </c>
      <c r="AE220">
        <v>111.607</v>
      </c>
      <c r="AF220">
        <v>243</v>
      </c>
      <c r="AG220">
        <v>1.2749999999999999</v>
      </c>
      <c r="AH220">
        <v>142</v>
      </c>
      <c r="AJ220">
        <v>16.48</v>
      </c>
      <c r="AK220">
        <v>56</v>
      </c>
      <c r="AL220">
        <v>18.21</v>
      </c>
      <c r="AM220">
        <v>322</v>
      </c>
      <c r="AN220">
        <v>16.71</v>
      </c>
      <c r="AO220">
        <v>1</v>
      </c>
      <c r="AP220">
        <v>18.739999999999998</v>
      </c>
      <c r="AQ220">
        <v>11</v>
      </c>
    </row>
    <row r="221" spans="1:43" x14ac:dyDescent="0.2">
      <c r="A221" t="s">
        <v>1782</v>
      </c>
      <c r="B221">
        <v>2026</v>
      </c>
      <c r="C221" t="s">
        <v>547</v>
      </c>
      <c r="D221">
        <v>0</v>
      </c>
      <c r="E221" t="s">
        <v>1006</v>
      </c>
      <c r="F221" t="s">
        <v>2002</v>
      </c>
      <c r="G221">
        <v>14</v>
      </c>
      <c r="H221">
        <v>18</v>
      </c>
      <c r="I221">
        <v>-4.2794999999999996</v>
      </c>
      <c r="J221">
        <v>220</v>
      </c>
      <c r="K221">
        <v>0.39029999999999998</v>
      </c>
      <c r="L221">
        <v>218</v>
      </c>
      <c r="M221">
        <v>108.199</v>
      </c>
      <c r="N221">
        <v>186</v>
      </c>
      <c r="O221">
        <v>109.193</v>
      </c>
      <c r="P221">
        <v>156</v>
      </c>
      <c r="Q221">
        <v>112.479</v>
      </c>
      <c r="R221">
        <v>244</v>
      </c>
      <c r="S221">
        <v>109.42</v>
      </c>
      <c r="T221">
        <v>209</v>
      </c>
      <c r="U221">
        <v>67.910799999999995</v>
      </c>
      <c r="V221">
        <v>208</v>
      </c>
      <c r="W221">
        <v>66.802199999999999</v>
      </c>
      <c r="X221">
        <v>215</v>
      </c>
      <c r="Y221">
        <v>-0.1169</v>
      </c>
      <c r="Z221">
        <v>364</v>
      </c>
      <c r="AA221">
        <v>-3.1030000000000002</v>
      </c>
      <c r="AB221">
        <v>223</v>
      </c>
      <c r="AC221">
        <v>107.818</v>
      </c>
      <c r="AD221">
        <v>245</v>
      </c>
      <c r="AE221">
        <v>110.92100000000001</v>
      </c>
      <c r="AF221">
        <v>219</v>
      </c>
      <c r="AG221">
        <v>2.4944000000000002</v>
      </c>
      <c r="AH221">
        <v>114</v>
      </c>
      <c r="AJ221">
        <v>17.489999999999998</v>
      </c>
      <c r="AK221">
        <v>172</v>
      </c>
      <c r="AL221">
        <v>17.75</v>
      </c>
      <c r="AM221">
        <v>237</v>
      </c>
      <c r="AN221">
        <v>17.579999999999998</v>
      </c>
      <c r="AO221">
        <v>6</v>
      </c>
      <c r="AP221">
        <v>18.16</v>
      </c>
      <c r="AQ221">
        <v>8</v>
      </c>
    </row>
    <row r="222" spans="1:43" x14ac:dyDescent="0.2">
      <c r="A222" t="s">
        <v>1782</v>
      </c>
      <c r="B222">
        <v>2026</v>
      </c>
      <c r="C222" t="s">
        <v>585</v>
      </c>
      <c r="D222">
        <v>0</v>
      </c>
      <c r="E222" t="s">
        <v>983</v>
      </c>
      <c r="F222" t="s">
        <v>2003</v>
      </c>
      <c r="G222">
        <v>14</v>
      </c>
      <c r="H222">
        <v>18</v>
      </c>
      <c r="I222">
        <v>-4.3665000000000003</v>
      </c>
      <c r="J222">
        <v>221</v>
      </c>
      <c r="K222">
        <v>0.38429999999999997</v>
      </c>
      <c r="L222">
        <v>221</v>
      </c>
      <c r="M222">
        <v>104.395</v>
      </c>
      <c r="N222">
        <v>265</v>
      </c>
      <c r="O222">
        <v>101.547</v>
      </c>
      <c r="P222">
        <v>308</v>
      </c>
      <c r="Q222">
        <v>108.762</v>
      </c>
      <c r="R222">
        <v>160</v>
      </c>
      <c r="S222">
        <v>106.54</v>
      </c>
      <c r="T222">
        <v>124</v>
      </c>
      <c r="U222">
        <v>70.214500000000001</v>
      </c>
      <c r="V222">
        <v>85</v>
      </c>
      <c r="W222">
        <v>69.251099999999994</v>
      </c>
      <c r="X222">
        <v>78</v>
      </c>
      <c r="Y222">
        <v>-4.0800000000000003E-2</v>
      </c>
      <c r="Z222">
        <v>295</v>
      </c>
      <c r="AA222">
        <v>0.67469999999999997</v>
      </c>
      <c r="AB222">
        <v>134</v>
      </c>
      <c r="AC222">
        <v>107.931</v>
      </c>
      <c r="AD222">
        <v>241</v>
      </c>
      <c r="AE222">
        <v>107.256</v>
      </c>
      <c r="AF222">
        <v>97</v>
      </c>
      <c r="AG222">
        <v>3.9356</v>
      </c>
      <c r="AH222">
        <v>88</v>
      </c>
      <c r="AJ222">
        <v>17.34</v>
      </c>
      <c r="AK222">
        <v>155</v>
      </c>
      <c r="AL222">
        <v>16.86</v>
      </c>
      <c r="AM222">
        <v>39</v>
      </c>
      <c r="AN222">
        <v>17.309999999999999</v>
      </c>
      <c r="AO222">
        <v>5</v>
      </c>
      <c r="AP222">
        <v>17.66</v>
      </c>
      <c r="AQ222">
        <v>5</v>
      </c>
    </row>
    <row r="223" spans="1:43" x14ac:dyDescent="0.2">
      <c r="A223" t="s">
        <v>1782</v>
      </c>
      <c r="B223">
        <v>2026</v>
      </c>
      <c r="C223" t="s">
        <v>149</v>
      </c>
      <c r="D223">
        <v>0</v>
      </c>
      <c r="E223" t="s">
        <v>980</v>
      </c>
      <c r="F223" t="s">
        <v>2004</v>
      </c>
      <c r="G223">
        <v>17</v>
      </c>
      <c r="H223">
        <v>16</v>
      </c>
      <c r="I223">
        <v>-4.7702999999999998</v>
      </c>
      <c r="J223">
        <v>222</v>
      </c>
      <c r="K223">
        <v>0.37209999999999999</v>
      </c>
      <c r="L223">
        <v>224</v>
      </c>
      <c r="M223">
        <v>102.483</v>
      </c>
      <c r="N223">
        <v>295</v>
      </c>
      <c r="O223">
        <v>103.191</v>
      </c>
      <c r="P223">
        <v>282</v>
      </c>
      <c r="Q223">
        <v>107.253</v>
      </c>
      <c r="R223">
        <v>132</v>
      </c>
      <c r="S223">
        <v>103.331</v>
      </c>
      <c r="T223">
        <v>68</v>
      </c>
      <c r="U223">
        <v>65.206999999999994</v>
      </c>
      <c r="V223">
        <v>326</v>
      </c>
      <c r="W223">
        <v>64.218500000000006</v>
      </c>
      <c r="X223">
        <v>334</v>
      </c>
      <c r="Y223">
        <v>2.8E-3</v>
      </c>
      <c r="Z223">
        <v>184</v>
      </c>
      <c r="AA223">
        <v>-4.5002000000000004</v>
      </c>
      <c r="AB223">
        <v>255</v>
      </c>
      <c r="AC223">
        <v>106.40600000000001</v>
      </c>
      <c r="AD223">
        <v>283</v>
      </c>
      <c r="AE223">
        <v>110.90600000000001</v>
      </c>
      <c r="AF223">
        <v>218</v>
      </c>
      <c r="AG223">
        <v>-8.1252999999999993</v>
      </c>
      <c r="AH223">
        <v>347</v>
      </c>
      <c r="AJ223">
        <v>19.239999999999998</v>
      </c>
      <c r="AK223">
        <v>344</v>
      </c>
      <c r="AL223">
        <v>17.39</v>
      </c>
      <c r="AM223">
        <v>147</v>
      </c>
      <c r="AN223">
        <v>19.71</v>
      </c>
      <c r="AO223">
        <v>13</v>
      </c>
      <c r="AP223">
        <v>17.579999999999998</v>
      </c>
      <c r="AQ223">
        <v>6</v>
      </c>
    </row>
    <row r="224" spans="1:43" x14ac:dyDescent="0.2">
      <c r="A224" t="s">
        <v>1782</v>
      </c>
      <c r="B224">
        <v>2026</v>
      </c>
      <c r="C224" t="s">
        <v>589</v>
      </c>
      <c r="D224">
        <v>0</v>
      </c>
      <c r="E224" t="s">
        <v>1093</v>
      </c>
      <c r="F224" t="s">
        <v>2005</v>
      </c>
      <c r="G224">
        <v>22</v>
      </c>
      <c r="H224">
        <v>11</v>
      </c>
      <c r="I224">
        <v>-4.8433999999999999</v>
      </c>
      <c r="J224">
        <v>223</v>
      </c>
      <c r="K224">
        <v>0.36799999999999999</v>
      </c>
      <c r="L224">
        <v>225</v>
      </c>
      <c r="M224">
        <v>100.568</v>
      </c>
      <c r="N224">
        <v>320</v>
      </c>
      <c r="O224">
        <v>102.624</v>
      </c>
      <c r="P224">
        <v>298</v>
      </c>
      <c r="Q224">
        <v>105.411</v>
      </c>
      <c r="R224">
        <v>99</v>
      </c>
      <c r="S224">
        <v>97.817599999999999</v>
      </c>
      <c r="T224">
        <v>14</v>
      </c>
      <c r="U224">
        <v>65.954099999999997</v>
      </c>
      <c r="V224">
        <v>300</v>
      </c>
      <c r="W224">
        <v>64.1678</v>
      </c>
      <c r="X224">
        <v>338</v>
      </c>
      <c r="Y224">
        <v>4.7600000000000003E-2</v>
      </c>
      <c r="Z224">
        <v>63</v>
      </c>
      <c r="AA224">
        <v>-8.8356999999999992</v>
      </c>
      <c r="AB224">
        <v>333</v>
      </c>
      <c r="AC224">
        <v>103.012</v>
      </c>
      <c r="AD224">
        <v>351</v>
      </c>
      <c r="AE224">
        <v>111.848</v>
      </c>
      <c r="AF224">
        <v>263</v>
      </c>
      <c r="AG224">
        <v>0.12759999999999999</v>
      </c>
      <c r="AH224">
        <v>182</v>
      </c>
      <c r="AJ224">
        <v>18.46</v>
      </c>
      <c r="AK224">
        <v>287</v>
      </c>
      <c r="AL224">
        <v>17.670000000000002</v>
      </c>
      <c r="AM224">
        <v>218</v>
      </c>
      <c r="AN224">
        <v>18.239999999999998</v>
      </c>
      <c r="AO224">
        <v>6</v>
      </c>
      <c r="AP224">
        <v>18.47</v>
      </c>
      <c r="AQ224">
        <v>11</v>
      </c>
    </row>
    <row r="225" spans="1:43" x14ac:dyDescent="0.2">
      <c r="A225" t="s">
        <v>1782</v>
      </c>
      <c r="B225">
        <v>2026</v>
      </c>
      <c r="C225" t="s">
        <v>529</v>
      </c>
      <c r="D225">
        <v>0</v>
      </c>
      <c r="E225" t="s">
        <v>918</v>
      </c>
      <c r="F225" t="s">
        <v>2006</v>
      </c>
      <c r="G225">
        <v>9</v>
      </c>
      <c r="H225">
        <v>24</v>
      </c>
      <c r="I225">
        <v>-4.9127999999999998</v>
      </c>
      <c r="J225">
        <v>224</v>
      </c>
      <c r="K225">
        <v>0.37940000000000002</v>
      </c>
      <c r="L225">
        <v>222</v>
      </c>
      <c r="M225">
        <v>112.342</v>
      </c>
      <c r="N225">
        <v>116</v>
      </c>
      <c r="O225">
        <v>107.244</v>
      </c>
      <c r="P225">
        <v>205</v>
      </c>
      <c r="Q225">
        <v>117.254</v>
      </c>
      <c r="R225">
        <v>318</v>
      </c>
      <c r="S225">
        <v>120.357</v>
      </c>
      <c r="T225">
        <v>359</v>
      </c>
      <c r="U225">
        <v>65.759299999999996</v>
      </c>
      <c r="V225">
        <v>309</v>
      </c>
      <c r="W225">
        <v>65.147000000000006</v>
      </c>
      <c r="X225">
        <v>298</v>
      </c>
      <c r="Y225">
        <v>-1.1900000000000001E-2</v>
      </c>
      <c r="Z225">
        <v>217</v>
      </c>
      <c r="AA225">
        <v>7.2084000000000001</v>
      </c>
      <c r="AB225">
        <v>79</v>
      </c>
      <c r="AC225">
        <v>113.184</v>
      </c>
      <c r="AD225">
        <v>81</v>
      </c>
      <c r="AE225">
        <v>105.97499999999999</v>
      </c>
      <c r="AF225">
        <v>76</v>
      </c>
      <c r="AG225">
        <v>2.0611000000000002</v>
      </c>
      <c r="AH225">
        <v>124</v>
      </c>
      <c r="AJ225">
        <v>18.989999999999998</v>
      </c>
      <c r="AK225">
        <v>328</v>
      </c>
      <c r="AL225">
        <v>17.510000000000002</v>
      </c>
      <c r="AM225">
        <v>175</v>
      </c>
      <c r="AN225">
        <v>19.010000000000002</v>
      </c>
      <c r="AO225">
        <v>9</v>
      </c>
      <c r="AP225">
        <v>17.88</v>
      </c>
      <c r="AQ225">
        <v>5</v>
      </c>
    </row>
    <row r="226" spans="1:43" x14ac:dyDescent="0.2">
      <c r="A226" t="s">
        <v>1782</v>
      </c>
      <c r="B226">
        <v>2026</v>
      </c>
      <c r="C226" t="s">
        <v>525</v>
      </c>
      <c r="D226">
        <v>0</v>
      </c>
      <c r="E226" t="s">
        <v>896</v>
      </c>
      <c r="F226" t="s">
        <v>2007</v>
      </c>
      <c r="G226">
        <v>12</v>
      </c>
      <c r="H226">
        <v>21</v>
      </c>
      <c r="I226">
        <v>-4.9619999999999997</v>
      </c>
      <c r="J226">
        <v>225</v>
      </c>
      <c r="K226">
        <v>0.374</v>
      </c>
      <c r="L226">
        <v>223</v>
      </c>
      <c r="M226">
        <v>108.364</v>
      </c>
      <c r="N226">
        <v>183</v>
      </c>
      <c r="O226">
        <v>104.68600000000001</v>
      </c>
      <c r="P226">
        <v>259</v>
      </c>
      <c r="Q226">
        <v>113.32599999999999</v>
      </c>
      <c r="R226">
        <v>258</v>
      </c>
      <c r="S226">
        <v>113.131</v>
      </c>
      <c r="T226">
        <v>296</v>
      </c>
      <c r="U226">
        <v>68.795299999999997</v>
      </c>
      <c r="V226">
        <v>160</v>
      </c>
      <c r="W226">
        <v>68.032499999999999</v>
      </c>
      <c r="X226">
        <v>137</v>
      </c>
      <c r="Y226">
        <v>3.5000000000000001E-3</v>
      </c>
      <c r="Z226">
        <v>182</v>
      </c>
      <c r="AA226">
        <v>2.2401</v>
      </c>
      <c r="AB226">
        <v>108</v>
      </c>
      <c r="AC226">
        <v>109.762</v>
      </c>
      <c r="AD226">
        <v>133</v>
      </c>
      <c r="AE226">
        <v>107.52200000000001</v>
      </c>
      <c r="AF226">
        <v>105</v>
      </c>
      <c r="AG226">
        <v>-2.2134</v>
      </c>
      <c r="AH226">
        <v>249</v>
      </c>
      <c r="AJ226">
        <v>17.73</v>
      </c>
      <c r="AK226">
        <v>203</v>
      </c>
      <c r="AL226">
        <v>17.2</v>
      </c>
      <c r="AM226">
        <v>104</v>
      </c>
      <c r="AN226">
        <v>17.559999999999999</v>
      </c>
      <c r="AO226">
        <v>6</v>
      </c>
      <c r="AP226">
        <v>17.04</v>
      </c>
      <c r="AQ226">
        <v>2</v>
      </c>
    </row>
    <row r="227" spans="1:43" x14ac:dyDescent="0.2">
      <c r="A227" t="s">
        <v>1782</v>
      </c>
      <c r="B227">
        <v>2026</v>
      </c>
      <c r="C227" t="s">
        <v>491</v>
      </c>
      <c r="D227">
        <v>0</v>
      </c>
      <c r="E227" t="s">
        <v>940</v>
      </c>
      <c r="F227" t="s">
        <v>2008</v>
      </c>
      <c r="G227">
        <v>13</v>
      </c>
      <c r="H227">
        <v>18</v>
      </c>
      <c r="I227">
        <v>-5.2477999999999998</v>
      </c>
      <c r="J227">
        <v>226</v>
      </c>
      <c r="K227">
        <v>0.36770000000000003</v>
      </c>
      <c r="L227">
        <v>226</v>
      </c>
      <c r="M227">
        <v>108.69199999999999</v>
      </c>
      <c r="N227">
        <v>178</v>
      </c>
      <c r="O227">
        <v>106.425</v>
      </c>
      <c r="P227">
        <v>219</v>
      </c>
      <c r="Q227">
        <v>113.93899999999999</v>
      </c>
      <c r="R227">
        <v>271</v>
      </c>
      <c r="S227">
        <v>113.23399999999999</v>
      </c>
      <c r="T227">
        <v>297</v>
      </c>
      <c r="U227">
        <v>66.7303</v>
      </c>
      <c r="V227">
        <v>255</v>
      </c>
      <c r="W227">
        <v>65.5381</v>
      </c>
      <c r="X227">
        <v>280</v>
      </c>
      <c r="Y227">
        <v>9.2999999999999992E-3</v>
      </c>
      <c r="Z227">
        <v>160</v>
      </c>
      <c r="AA227">
        <v>-0.3856</v>
      </c>
      <c r="AB227">
        <v>160</v>
      </c>
      <c r="AC227">
        <v>108.869</v>
      </c>
      <c r="AD227">
        <v>176</v>
      </c>
      <c r="AE227">
        <v>109.254</v>
      </c>
      <c r="AF227">
        <v>162</v>
      </c>
      <c r="AG227">
        <v>-2.2269000000000001</v>
      </c>
      <c r="AH227">
        <v>250</v>
      </c>
      <c r="AJ227">
        <v>18.39</v>
      </c>
      <c r="AK227">
        <v>276</v>
      </c>
      <c r="AL227">
        <v>17.3</v>
      </c>
      <c r="AM227">
        <v>125</v>
      </c>
      <c r="AN227">
        <v>18.920000000000002</v>
      </c>
      <c r="AO227">
        <v>11</v>
      </c>
      <c r="AP227">
        <v>17.54</v>
      </c>
      <c r="AQ227">
        <v>8</v>
      </c>
    </row>
    <row r="228" spans="1:43" x14ac:dyDescent="0.2">
      <c r="A228" t="s">
        <v>1782</v>
      </c>
      <c r="B228">
        <v>2026</v>
      </c>
      <c r="C228" t="s">
        <v>579</v>
      </c>
      <c r="D228">
        <v>0</v>
      </c>
      <c r="E228" t="s">
        <v>980</v>
      </c>
      <c r="F228" t="s">
        <v>2009</v>
      </c>
      <c r="G228">
        <v>17</v>
      </c>
      <c r="H228">
        <v>15</v>
      </c>
      <c r="I228">
        <v>-5.5444000000000004</v>
      </c>
      <c r="J228">
        <v>227</v>
      </c>
      <c r="K228">
        <v>0.35670000000000002</v>
      </c>
      <c r="L228">
        <v>231</v>
      </c>
      <c r="M228">
        <v>105.336</v>
      </c>
      <c r="N228">
        <v>252</v>
      </c>
      <c r="O228">
        <v>104.69</v>
      </c>
      <c r="P228">
        <v>258</v>
      </c>
      <c r="Q228">
        <v>110.881</v>
      </c>
      <c r="R228">
        <v>209</v>
      </c>
      <c r="S228">
        <v>107.684</v>
      </c>
      <c r="T228">
        <v>156</v>
      </c>
      <c r="U228">
        <v>66.403800000000004</v>
      </c>
      <c r="V228">
        <v>283</v>
      </c>
      <c r="W228">
        <v>66.270600000000002</v>
      </c>
      <c r="X228">
        <v>241</v>
      </c>
      <c r="Y228">
        <v>6.4000000000000001E-2</v>
      </c>
      <c r="Z228">
        <v>41</v>
      </c>
      <c r="AA228">
        <v>-2.9807999999999999</v>
      </c>
      <c r="AB228">
        <v>221</v>
      </c>
      <c r="AC228">
        <v>106.95699999999999</v>
      </c>
      <c r="AD228">
        <v>272</v>
      </c>
      <c r="AE228">
        <v>109.938</v>
      </c>
      <c r="AF228">
        <v>178</v>
      </c>
      <c r="AG228">
        <v>-4.3406000000000002</v>
      </c>
      <c r="AH228">
        <v>292</v>
      </c>
      <c r="AJ228">
        <v>18.29</v>
      </c>
      <c r="AK228">
        <v>266</v>
      </c>
      <c r="AL228">
        <v>17.61</v>
      </c>
      <c r="AM228">
        <v>200</v>
      </c>
      <c r="AN228">
        <v>18.350000000000001</v>
      </c>
      <c r="AO228">
        <v>9</v>
      </c>
      <c r="AP228">
        <v>17.809999999999999</v>
      </c>
      <c r="AQ228">
        <v>8</v>
      </c>
    </row>
    <row r="229" spans="1:43" x14ac:dyDescent="0.2">
      <c r="A229" t="s">
        <v>1782</v>
      </c>
      <c r="B229">
        <v>2026</v>
      </c>
      <c r="C229" t="s">
        <v>701</v>
      </c>
      <c r="D229">
        <v>0</v>
      </c>
      <c r="E229" t="s">
        <v>1071</v>
      </c>
      <c r="F229" t="s">
        <v>2010</v>
      </c>
      <c r="G229">
        <v>15</v>
      </c>
      <c r="H229">
        <v>16</v>
      </c>
      <c r="I229">
        <v>-5.5624000000000002</v>
      </c>
      <c r="J229">
        <v>228</v>
      </c>
      <c r="K229">
        <v>0.36109999999999998</v>
      </c>
      <c r="L229">
        <v>227</v>
      </c>
      <c r="M229">
        <v>109.331</v>
      </c>
      <c r="N229">
        <v>169</v>
      </c>
      <c r="O229">
        <v>111.173</v>
      </c>
      <c r="P229">
        <v>120</v>
      </c>
      <c r="Q229">
        <v>114.89400000000001</v>
      </c>
      <c r="R229">
        <v>289</v>
      </c>
      <c r="S229">
        <v>113.56399999999999</v>
      </c>
      <c r="T229">
        <v>301</v>
      </c>
      <c r="U229">
        <v>68.755200000000002</v>
      </c>
      <c r="V229">
        <v>163</v>
      </c>
      <c r="W229">
        <v>67.810199999999995</v>
      </c>
      <c r="X229">
        <v>154</v>
      </c>
      <c r="Y229">
        <v>-1.4800000000000001E-2</v>
      </c>
      <c r="Z229">
        <v>226</v>
      </c>
      <c r="AA229">
        <v>-4.0179999999999998</v>
      </c>
      <c r="AB229">
        <v>246</v>
      </c>
      <c r="AC229">
        <v>108.813</v>
      </c>
      <c r="AD229">
        <v>181</v>
      </c>
      <c r="AE229">
        <v>112.831</v>
      </c>
      <c r="AF229">
        <v>306</v>
      </c>
      <c r="AG229">
        <v>9.6679999999999993</v>
      </c>
      <c r="AH229">
        <v>20</v>
      </c>
      <c r="AJ229">
        <v>18</v>
      </c>
      <c r="AK229">
        <v>238</v>
      </c>
      <c r="AL229">
        <v>16.96</v>
      </c>
      <c r="AM229">
        <v>59</v>
      </c>
      <c r="AN229">
        <v>18.36</v>
      </c>
      <c r="AO229">
        <v>7</v>
      </c>
      <c r="AP229">
        <v>17.690000000000001</v>
      </c>
      <c r="AQ229">
        <v>4</v>
      </c>
    </row>
    <row r="230" spans="1:43" x14ac:dyDescent="0.2">
      <c r="A230" t="s">
        <v>1782</v>
      </c>
      <c r="B230">
        <v>2026</v>
      </c>
      <c r="C230" t="s">
        <v>439</v>
      </c>
      <c r="D230">
        <v>0</v>
      </c>
      <c r="E230" t="s">
        <v>953</v>
      </c>
      <c r="F230" t="s">
        <v>2011</v>
      </c>
      <c r="G230">
        <v>15</v>
      </c>
      <c r="H230">
        <v>17</v>
      </c>
      <c r="I230">
        <v>-5.5972999999999997</v>
      </c>
      <c r="J230">
        <v>229</v>
      </c>
      <c r="K230">
        <v>0.35859999999999997</v>
      </c>
      <c r="L230">
        <v>229</v>
      </c>
      <c r="M230">
        <v>107.94799999999999</v>
      </c>
      <c r="N230">
        <v>193</v>
      </c>
      <c r="O230">
        <v>108.014</v>
      </c>
      <c r="P230">
        <v>185</v>
      </c>
      <c r="Q230">
        <v>113.545</v>
      </c>
      <c r="R230">
        <v>262</v>
      </c>
      <c r="S230">
        <v>112.53</v>
      </c>
      <c r="T230">
        <v>278</v>
      </c>
      <c r="U230">
        <v>70.345100000000002</v>
      </c>
      <c r="V230">
        <v>81</v>
      </c>
      <c r="W230">
        <v>68.813999999999993</v>
      </c>
      <c r="X230">
        <v>103</v>
      </c>
      <c r="Y230">
        <v>2.53E-2</v>
      </c>
      <c r="Z230">
        <v>121</v>
      </c>
      <c r="AA230">
        <v>-1.3874</v>
      </c>
      <c r="AB230">
        <v>186</v>
      </c>
      <c r="AC230">
        <v>109.041</v>
      </c>
      <c r="AD230">
        <v>170</v>
      </c>
      <c r="AE230">
        <v>110.429</v>
      </c>
      <c r="AF230">
        <v>202</v>
      </c>
      <c r="AG230">
        <v>0.87260000000000004</v>
      </c>
      <c r="AH230">
        <v>155</v>
      </c>
      <c r="AJ230">
        <v>17.11</v>
      </c>
      <c r="AK230">
        <v>120</v>
      </c>
      <c r="AL230">
        <v>17.38</v>
      </c>
      <c r="AM230">
        <v>141</v>
      </c>
      <c r="AN230">
        <v>16.989999999999998</v>
      </c>
      <c r="AO230">
        <v>6</v>
      </c>
      <c r="AP230">
        <v>17.489999999999998</v>
      </c>
      <c r="AQ230">
        <v>10</v>
      </c>
    </row>
    <row r="231" spans="1:43" x14ac:dyDescent="0.2">
      <c r="A231" t="s">
        <v>1782</v>
      </c>
      <c r="B231">
        <v>2026</v>
      </c>
      <c r="C231" t="s">
        <v>169</v>
      </c>
      <c r="D231">
        <v>0</v>
      </c>
      <c r="E231" t="s">
        <v>980</v>
      </c>
      <c r="F231" t="s">
        <v>2012</v>
      </c>
      <c r="G231">
        <v>14</v>
      </c>
      <c r="H231">
        <v>18</v>
      </c>
      <c r="I231">
        <v>-5.7274000000000003</v>
      </c>
      <c r="J231">
        <v>230</v>
      </c>
      <c r="K231">
        <v>0.3584</v>
      </c>
      <c r="L231">
        <v>230</v>
      </c>
      <c r="M231">
        <v>110.236</v>
      </c>
      <c r="N231">
        <v>152</v>
      </c>
      <c r="O231">
        <v>111.08</v>
      </c>
      <c r="P231">
        <v>122</v>
      </c>
      <c r="Q231">
        <v>115.96299999999999</v>
      </c>
      <c r="R231">
        <v>304</v>
      </c>
      <c r="S231">
        <v>114.41500000000001</v>
      </c>
      <c r="T231">
        <v>316</v>
      </c>
      <c r="U231">
        <v>67.989199999999997</v>
      </c>
      <c r="V231">
        <v>201</v>
      </c>
      <c r="W231">
        <v>66.829300000000003</v>
      </c>
      <c r="X231">
        <v>214</v>
      </c>
      <c r="Y231">
        <v>-3.0099999999999998E-2</v>
      </c>
      <c r="Z231">
        <v>271</v>
      </c>
      <c r="AA231">
        <v>-2.4451000000000001</v>
      </c>
      <c r="AB231">
        <v>213</v>
      </c>
      <c r="AC231">
        <v>108.434</v>
      </c>
      <c r="AD231">
        <v>205</v>
      </c>
      <c r="AE231">
        <v>110.88</v>
      </c>
      <c r="AF231">
        <v>215</v>
      </c>
      <c r="AG231">
        <v>-3.1572</v>
      </c>
      <c r="AH231">
        <v>269</v>
      </c>
      <c r="AJ231">
        <v>17.739999999999998</v>
      </c>
      <c r="AK231">
        <v>204</v>
      </c>
      <c r="AL231">
        <v>17.600000000000001</v>
      </c>
      <c r="AM231">
        <v>199</v>
      </c>
      <c r="AN231">
        <v>17.809999999999999</v>
      </c>
      <c r="AO231">
        <v>6</v>
      </c>
      <c r="AP231">
        <v>17.86</v>
      </c>
      <c r="AQ231">
        <v>9</v>
      </c>
    </row>
    <row r="232" spans="1:43" x14ac:dyDescent="0.2">
      <c r="A232" t="s">
        <v>1782</v>
      </c>
      <c r="B232">
        <v>2026</v>
      </c>
      <c r="C232" t="s">
        <v>299</v>
      </c>
      <c r="D232">
        <v>0</v>
      </c>
      <c r="E232" t="s">
        <v>1001</v>
      </c>
      <c r="F232" t="s">
        <v>2013</v>
      </c>
      <c r="G232">
        <v>10</v>
      </c>
      <c r="H232">
        <v>22</v>
      </c>
      <c r="I232">
        <v>-5.7491000000000003</v>
      </c>
      <c r="J232">
        <v>231</v>
      </c>
      <c r="K232">
        <v>0.35239999999999999</v>
      </c>
      <c r="L232">
        <v>232</v>
      </c>
      <c r="M232">
        <v>105.78700000000001</v>
      </c>
      <c r="N232">
        <v>239</v>
      </c>
      <c r="O232">
        <v>102.172</v>
      </c>
      <c r="P232">
        <v>303</v>
      </c>
      <c r="Q232">
        <v>111.536</v>
      </c>
      <c r="R232">
        <v>218</v>
      </c>
      <c r="S232">
        <v>110.194</v>
      </c>
      <c r="T232">
        <v>225</v>
      </c>
      <c r="U232">
        <v>70.891499999999994</v>
      </c>
      <c r="V232">
        <v>60</v>
      </c>
      <c r="W232">
        <v>68.505399999999995</v>
      </c>
      <c r="X232">
        <v>118</v>
      </c>
      <c r="Y232">
        <v>-2.9700000000000001E-2</v>
      </c>
      <c r="Z232">
        <v>270</v>
      </c>
      <c r="AA232">
        <v>0.97440000000000004</v>
      </c>
      <c r="AB232">
        <v>127</v>
      </c>
      <c r="AC232">
        <v>108.666</v>
      </c>
      <c r="AD232">
        <v>191</v>
      </c>
      <c r="AE232">
        <v>107.69199999999999</v>
      </c>
      <c r="AF232">
        <v>110</v>
      </c>
      <c r="AG232">
        <v>4.4720000000000004</v>
      </c>
      <c r="AH232">
        <v>79</v>
      </c>
      <c r="AJ232">
        <v>17.399999999999999</v>
      </c>
      <c r="AK232">
        <v>158</v>
      </c>
      <c r="AL232">
        <v>16.62</v>
      </c>
      <c r="AM232">
        <v>20</v>
      </c>
      <c r="AN232">
        <v>17.399999999999999</v>
      </c>
      <c r="AO232">
        <v>10</v>
      </c>
      <c r="AP232">
        <v>16.170000000000002</v>
      </c>
      <c r="AQ232">
        <v>2</v>
      </c>
    </row>
    <row r="233" spans="1:43" x14ac:dyDescent="0.2">
      <c r="A233" t="s">
        <v>1782</v>
      </c>
      <c r="B233">
        <v>2026</v>
      </c>
      <c r="C233" t="s">
        <v>551</v>
      </c>
      <c r="D233">
        <v>0</v>
      </c>
      <c r="E233" t="s">
        <v>1093</v>
      </c>
      <c r="F233" t="s">
        <v>2014</v>
      </c>
      <c r="G233">
        <v>20</v>
      </c>
      <c r="H233">
        <v>13</v>
      </c>
      <c r="I233">
        <v>-5.8281999999999998</v>
      </c>
      <c r="J233">
        <v>232</v>
      </c>
      <c r="K233">
        <v>0.34589999999999999</v>
      </c>
      <c r="L233">
        <v>236</v>
      </c>
      <c r="M233">
        <v>102.331</v>
      </c>
      <c r="N233">
        <v>299</v>
      </c>
      <c r="O233">
        <v>104.533</v>
      </c>
      <c r="P233">
        <v>261</v>
      </c>
      <c r="Q233">
        <v>108.16</v>
      </c>
      <c r="R233">
        <v>145</v>
      </c>
      <c r="S233">
        <v>102.782</v>
      </c>
      <c r="T233">
        <v>60</v>
      </c>
      <c r="U233">
        <v>69.9208</v>
      </c>
      <c r="V233">
        <v>97</v>
      </c>
      <c r="W233">
        <v>68.902100000000004</v>
      </c>
      <c r="X233">
        <v>98</v>
      </c>
      <c r="Y233">
        <v>3.1399999999999997E-2</v>
      </c>
      <c r="Z233">
        <v>106</v>
      </c>
      <c r="AA233">
        <v>-8.0512999999999995</v>
      </c>
      <c r="AB233">
        <v>320</v>
      </c>
      <c r="AC233">
        <v>104.1</v>
      </c>
      <c r="AD233">
        <v>320</v>
      </c>
      <c r="AE233">
        <v>112.151</v>
      </c>
      <c r="AF233">
        <v>276</v>
      </c>
      <c r="AG233">
        <v>4.4492000000000003</v>
      </c>
      <c r="AH233">
        <v>80</v>
      </c>
      <c r="AJ233">
        <v>16.82</v>
      </c>
      <c r="AK233">
        <v>86</v>
      </c>
      <c r="AL233">
        <v>17.600000000000001</v>
      </c>
      <c r="AM233">
        <v>196</v>
      </c>
      <c r="AN233">
        <v>16.96</v>
      </c>
      <c r="AO233">
        <v>3</v>
      </c>
      <c r="AP233">
        <v>18.07</v>
      </c>
      <c r="AQ233">
        <v>9</v>
      </c>
    </row>
    <row r="234" spans="1:43" x14ac:dyDescent="0.2">
      <c r="A234" t="s">
        <v>1782</v>
      </c>
      <c r="B234">
        <v>2026</v>
      </c>
      <c r="C234" t="s">
        <v>679</v>
      </c>
      <c r="D234">
        <v>0</v>
      </c>
      <c r="E234" t="s">
        <v>1101</v>
      </c>
      <c r="F234" t="s">
        <v>2015</v>
      </c>
      <c r="G234">
        <v>22</v>
      </c>
      <c r="H234">
        <v>11</v>
      </c>
      <c r="I234">
        <v>-5.9192</v>
      </c>
      <c r="J234">
        <v>233</v>
      </c>
      <c r="K234">
        <v>0.34970000000000001</v>
      </c>
      <c r="L234">
        <v>234</v>
      </c>
      <c r="M234">
        <v>106.77</v>
      </c>
      <c r="N234">
        <v>219</v>
      </c>
      <c r="O234">
        <v>111.22199999999999</v>
      </c>
      <c r="P234">
        <v>119</v>
      </c>
      <c r="Q234">
        <v>112.69</v>
      </c>
      <c r="R234">
        <v>248</v>
      </c>
      <c r="S234">
        <v>104.97</v>
      </c>
      <c r="T234">
        <v>93</v>
      </c>
      <c r="U234">
        <v>64.447100000000006</v>
      </c>
      <c r="V234">
        <v>344</v>
      </c>
      <c r="W234">
        <v>64.862300000000005</v>
      </c>
      <c r="X234">
        <v>311</v>
      </c>
      <c r="Y234">
        <v>4.4999999999999997E-3</v>
      </c>
      <c r="Z234">
        <v>177</v>
      </c>
      <c r="AA234">
        <v>-11.514099999999999</v>
      </c>
      <c r="AB234">
        <v>359</v>
      </c>
      <c r="AC234">
        <v>102.748</v>
      </c>
      <c r="AD234">
        <v>355</v>
      </c>
      <c r="AE234">
        <v>114.262</v>
      </c>
      <c r="AF234">
        <v>353</v>
      </c>
      <c r="AG234">
        <v>-2.4279999999999999</v>
      </c>
      <c r="AH234">
        <v>256</v>
      </c>
      <c r="AJ234">
        <v>18.72</v>
      </c>
      <c r="AK234">
        <v>310</v>
      </c>
      <c r="AL234">
        <v>18.260000000000002</v>
      </c>
      <c r="AM234">
        <v>330</v>
      </c>
      <c r="AN234">
        <v>18.87</v>
      </c>
      <c r="AO234">
        <v>6</v>
      </c>
      <c r="AP234">
        <v>18.13</v>
      </c>
      <c r="AQ234">
        <v>5</v>
      </c>
    </row>
    <row r="235" spans="1:43" x14ac:dyDescent="0.2">
      <c r="A235" t="s">
        <v>1782</v>
      </c>
      <c r="B235">
        <v>2026</v>
      </c>
      <c r="C235" t="s">
        <v>143</v>
      </c>
      <c r="D235">
        <v>0</v>
      </c>
      <c r="E235" t="s">
        <v>1006</v>
      </c>
      <c r="F235" t="s">
        <v>2016</v>
      </c>
      <c r="G235">
        <v>15</v>
      </c>
      <c r="H235">
        <v>17</v>
      </c>
      <c r="I235">
        <v>-5.9233000000000002</v>
      </c>
      <c r="J235">
        <v>234</v>
      </c>
      <c r="K235">
        <v>0.36080000000000001</v>
      </c>
      <c r="L235">
        <v>228</v>
      </c>
      <c r="M235">
        <v>116.18300000000001</v>
      </c>
      <c r="N235">
        <v>77</v>
      </c>
      <c r="O235">
        <v>116.11199999999999</v>
      </c>
      <c r="P235">
        <v>52</v>
      </c>
      <c r="Q235">
        <v>122.10599999999999</v>
      </c>
      <c r="R235">
        <v>358</v>
      </c>
      <c r="S235">
        <v>120.99</v>
      </c>
      <c r="T235">
        <v>360</v>
      </c>
      <c r="U235">
        <v>69.403000000000006</v>
      </c>
      <c r="V235">
        <v>127</v>
      </c>
      <c r="W235">
        <v>67.901300000000006</v>
      </c>
      <c r="X235">
        <v>145</v>
      </c>
      <c r="Y235">
        <v>7.4000000000000003E-3</v>
      </c>
      <c r="Z235">
        <v>173</v>
      </c>
      <c r="AA235">
        <v>-1.6447000000000001</v>
      </c>
      <c r="AB235">
        <v>194</v>
      </c>
      <c r="AC235">
        <v>109.126</v>
      </c>
      <c r="AD235">
        <v>164</v>
      </c>
      <c r="AE235">
        <v>110.771</v>
      </c>
      <c r="AF235">
        <v>212</v>
      </c>
      <c r="AG235">
        <v>7.9139999999999997</v>
      </c>
      <c r="AH235">
        <v>31</v>
      </c>
      <c r="AJ235">
        <v>17.600000000000001</v>
      </c>
      <c r="AK235">
        <v>182</v>
      </c>
      <c r="AL235">
        <v>17.22</v>
      </c>
      <c r="AM235">
        <v>109</v>
      </c>
      <c r="AN235">
        <v>17.71</v>
      </c>
      <c r="AO235">
        <v>7</v>
      </c>
      <c r="AP235">
        <v>17.32</v>
      </c>
      <c r="AQ235">
        <v>4</v>
      </c>
    </row>
    <row r="236" spans="1:43" x14ac:dyDescent="0.2">
      <c r="A236" t="s">
        <v>1782</v>
      </c>
      <c r="B236">
        <v>2026</v>
      </c>
      <c r="C236" t="s">
        <v>283</v>
      </c>
      <c r="D236">
        <v>0</v>
      </c>
      <c r="E236" t="s">
        <v>926</v>
      </c>
      <c r="F236" t="s">
        <v>2017</v>
      </c>
      <c r="G236">
        <v>9</v>
      </c>
      <c r="H236">
        <v>23</v>
      </c>
      <c r="I236">
        <v>-5.9240000000000004</v>
      </c>
      <c r="J236">
        <v>235</v>
      </c>
      <c r="K236">
        <v>0.34820000000000001</v>
      </c>
      <c r="L236">
        <v>235</v>
      </c>
      <c r="M236">
        <v>105.751</v>
      </c>
      <c r="N236">
        <v>240</v>
      </c>
      <c r="O236">
        <v>100.788</v>
      </c>
      <c r="P236">
        <v>318</v>
      </c>
      <c r="Q236">
        <v>111.675</v>
      </c>
      <c r="R236">
        <v>222</v>
      </c>
      <c r="S236">
        <v>112.684</v>
      </c>
      <c r="T236">
        <v>284</v>
      </c>
      <c r="U236">
        <v>66.413700000000006</v>
      </c>
      <c r="V236">
        <v>281</v>
      </c>
      <c r="W236">
        <v>65.782399999999996</v>
      </c>
      <c r="X236">
        <v>268</v>
      </c>
      <c r="Y236">
        <v>-2.8500000000000001E-2</v>
      </c>
      <c r="Z236">
        <v>263</v>
      </c>
      <c r="AA236">
        <v>5.0891000000000002</v>
      </c>
      <c r="AB236">
        <v>92</v>
      </c>
      <c r="AC236">
        <v>111.307</v>
      </c>
      <c r="AD236">
        <v>98</v>
      </c>
      <c r="AE236">
        <v>106.218</v>
      </c>
      <c r="AF236">
        <v>81</v>
      </c>
      <c r="AG236">
        <v>3.8066</v>
      </c>
      <c r="AH236">
        <v>91</v>
      </c>
      <c r="AJ236">
        <v>18.43</v>
      </c>
      <c r="AK236">
        <v>282</v>
      </c>
      <c r="AL236">
        <v>17.5</v>
      </c>
      <c r="AM236">
        <v>174</v>
      </c>
      <c r="AN236">
        <v>18.38</v>
      </c>
      <c r="AO236">
        <v>10</v>
      </c>
      <c r="AP236">
        <v>17.73</v>
      </c>
      <c r="AQ236">
        <v>5</v>
      </c>
    </row>
    <row r="237" spans="1:43" x14ac:dyDescent="0.2">
      <c r="A237" t="s">
        <v>1782</v>
      </c>
      <c r="B237">
        <v>2026</v>
      </c>
      <c r="C237" t="s">
        <v>205</v>
      </c>
      <c r="D237">
        <v>0</v>
      </c>
      <c r="E237" t="s">
        <v>1045</v>
      </c>
      <c r="F237" t="s">
        <v>2018</v>
      </c>
      <c r="G237">
        <v>21</v>
      </c>
      <c r="H237">
        <v>16</v>
      </c>
      <c r="I237">
        <v>-6.0496999999999996</v>
      </c>
      <c r="J237">
        <v>236</v>
      </c>
      <c r="K237">
        <v>0.35120000000000001</v>
      </c>
      <c r="L237">
        <v>233</v>
      </c>
      <c r="M237">
        <v>110.36199999999999</v>
      </c>
      <c r="N237">
        <v>149</v>
      </c>
      <c r="O237">
        <v>111.32599999999999</v>
      </c>
      <c r="P237">
        <v>116</v>
      </c>
      <c r="Q237">
        <v>116.41200000000001</v>
      </c>
      <c r="R237">
        <v>310</v>
      </c>
      <c r="S237">
        <v>111.911</v>
      </c>
      <c r="T237">
        <v>270</v>
      </c>
      <c r="U237">
        <v>71.093699999999998</v>
      </c>
      <c r="V237">
        <v>51</v>
      </c>
      <c r="W237">
        <v>70.071700000000007</v>
      </c>
      <c r="X237">
        <v>43</v>
      </c>
      <c r="Y237">
        <v>5.67E-2</v>
      </c>
      <c r="Z237">
        <v>51</v>
      </c>
      <c r="AA237">
        <v>-5.8255999999999997</v>
      </c>
      <c r="AB237">
        <v>282</v>
      </c>
      <c r="AC237">
        <v>105.932</v>
      </c>
      <c r="AD237">
        <v>293</v>
      </c>
      <c r="AE237">
        <v>111.758</v>
      </c>
      <c r="AF237">
        <v>255</v>
      </c>
      <c r="AG237">
        <v>-6.6413000000000002</v>
      </c>
      <c r="AH237">
        <v>329</v>
      </c>
      <c r="AJ237">
        <v>16.440000000000001</v>
      </c>
      <c r="AK237">
        <v>54</v>
      </c>
      <c r="AL237">
        <v>17.309999999999999</v>
      </c>
      <c r="AM237">
        <v>130</v>
      </c>
      <c r="AN237">
        <v>16.5</v>
      </c>
      <c r="AO237">
        <v>3</v>
      </c>
      <c r="AP237">
        <v>17.61</v>
      </c>
      <c r="AQ237">
        <v>7</v>
      </c>
    </row>
    <row r="238" spans="1:43" x14ac:dyDescent="0.2">
      <c r="A238" t="s">
        <v>1782</v>
      </c>
      <c r="B238">
        <v>2026</v>
      </c>
      <c r="C238" t="s">
        <v>1146</v>
      </c>
      <c r="D238">
        <v>0</v>
      </c>
      <c r="E238" t="s">
        <v>956</v>
      </c>
      <c r="F238" t="s">
        <v>2019</v>
      </c>
      <c r="G238">
        <v>14</v>
      </c>
      <c r="H238">
        <v>19</v>
      </c>
      <c r="I238">
        <v>-6.2195999999999998</v>
      </c>
      <c r="J238">
        <v>237</v>
      </c>
      <c r="K238">
        <v>0.34160000000000001</v>
      </c>
      <c r="L238">
        <v>237</v>
      </c>
      <c r="M238">
        <v>105.923</v>
      </c>
      <c r="N238">
        <v>235</v>
      </c>
      <c r="O238">
        <v>104.124</v>
      </c>
      <c r="P238">
        <v>268</v>
      </c>
      <c r="Q238">
        <v>112.142</v>
      </c>
      <c r="R238">
        <v>235</v>
      </c>
      <c r="S238">
        <v>110.526</v>
      </c>
      <c r="T238">
        <v>230</v>
      </c>
      <c r="U238">
        <v>68.330100000000002</v>
      </c>
      <c r="V238">
        <v>186</v>
      </c>
      <c r="W238">
        <v>68.213999999999999</v>
      </c>
      <c r="X238">
        <v>129</v>
      </c>
      <c r="Y238">
        <v>4.3700000000000003E-2</v>
      </c>
      <c r="Z238">
        <v>71</v>
      </c>
      <c r="AA238">
        <v>-0.13270000000000001</v>
      </c>
      <c r="AB238">
        <v>152</v>
      </c>
      <c r="AC238">
        <v>108.489</v>
      </c>
      <c r="AD238">
        <v>200</v>
      </c>
      <c r="AE238">
        <v>108.621</v>
      </c>
      <c r="AF238">
        <v>140</v>
      </c>
      <c r="AG238">
        <v>9.7004999999999999</v>
      </c>
      <c r="AH238">
        <v>19</v>
      </c>
      <c r="AJ238">
        <v>17.34</v>
      </c>
      <c r="AK238">
        <v>154</v>
      </c>
      <c r="AL238">
        <v>17.57</v>
      </c>
      <c r="AM238">
        <v>187</v>
      </c>
      <c r="AN238">
        <v>17.57</v>
      </c>
      <c r="AO238">
        <v>3</v>
      </c>
      <c r="AP238">
        <v>17.59</v>
      </c>
      <c r="AQ238">
        <v>2</v>
      </c>
    </row>
    <row r="239" spans="1:43" x14ac:dyDescent="0.2">
      <c r="A239" t="s">
        <v>1782</v>
      </c>
      <c r="B239">
        <v>2026</v>
      </c>
      <c r="C239" t="s">
        <v>287</v>
      </c>
      <c r="D239">
        <v>0</v>
      </c>
      <c r="E239" t="s">
        <v>956</v>
      </c>
      <c r="F239" t="s">
        <v>2020</v>
      </c>
      <c r="G239">
        <v>12</v>
      </c>
      <c r="H239">
        <v>19</v>
      </c>
      <c r="I239">
        <v>-6.2736000000000001</v>
      </c>
      <c r="J239">
        <v>238</v>
      </c>
      <c r="K239">
        <v>0.33660000000000001</v>
      </c>
      <c r="L239">
        <v>240</v>
      </c>
      <c r="M239">
        <v>103.244</v>
      </c>
      <c r="N239">
        <v>284</v>
      </c>
      <c r="O239">
        <v>103.509</v>
      </c>
      <c r="P239">
        <v>279</v>
      </c>
      <c r="Q239">
        <v>109.517</v>
      </c>
      <c r="R239">
        <v>179</v>
      </c>
      <c r="S239">
        <v>106.44799999999999</v>
      </c>
      <c r="T239">
        <v>123</v>
      </c>
      <c r="U239">
        <v>65.803200000000004</v>
      </c>
      <c r="V239">
        <v>305</v>
      </c>
      <c r="W239">
        <v>65.587699999999998</v>
      </c>
      <c r="X239">
        <v>277</v>
      </c>
      <c r="Y239">
        <v>-8.9200000000000002E-2</v>
      </c>
      <c r="Z239">
        <v>348</v>
      </c>
      <c r="AA239">
        <v>-2.7492999999999999</v>
      </c>
      <c r="AB239">
        <v>217</v>
      </c>
      <c r="AC239">
        <v>107.158</v>
      </c>
      <c r="AD239">
        <v>267</v>
      </c>
      <c r="AE239">
        <v>109.907</v>
      </c>
      <c r="AF239">
        <v>177</v>
      </c>
      <c r="AG239">
        <v>-0.64580000000000004</v>
      </c>
      <c r="AH239">
        <v>200</v>
      </c>
      <c r="AJ239">
        <v>17.89</v>
      </c>
      <c r="AK239">
        <v>223</v>
      </c>
      <c r="AL239">
        <v>18.21</v>
      </c>
      <c r="AM239">
        <v>319</v>
      </c>
      <c r="AN239">
        <v>18.34</v>
      </c>
      <c r="AO239">
        <v>8</v>
      </c>
      <c r="AP239">
        <v>18.309999999999999</v>
      </c>
      <c r="AQ239">
        <v>8</v>
      </c>
    </row>
    <row r="240" spans="1:43" x14ac:dyDescent="0.2">
      <c r="A240" t="s">
        <v>1782</v>
      </c>
      <c r="B240">
        <v>2026</v>
      </c>
      <c r="C240" t="s">
        <v>19</v>
      </c>
      <c r="D240">
        <v>0</v>
      </c>
      <c r="E240" t="s">
        <v>1043</v>
      </c>
      <c r="F240" t="s">
        <v>2021</v>
      </c>
      <c r="G240">
        <v>16</v>
      </c>
      <c r="H240">
        <v>16</v>
      </c>
      <c r="I240">
        <v>-6.3884999999999996</v>
      </c>
      <c r="J240">
        <v>239</v>
      </c>
      <c r="K240">
        <v>0.33739999999999998</v>
      </c>
      <c r="L240">
        <v>238</v>
      </c>
      <c r="M240">
        <v>105.702</v>
      </c>
      <c r="N240">
        <v>241</v>
      </c>
      <c r="O240">
        <v>108.209</v>
      </c>
      <c r="P240">
        <v>180</v>
      </c>
      <c r="Q240">
        <v>112.09</v>
      </c>
      <c r="R240">
        <v>234</v>
      </c>
      <c r="S240">
        <v>108.732</v>
      </c>
      <c r="T240">
        <v>185</v>
      </c>
      <c r="U240">
        <v>66.677099999999996</v>
      </c>
      <c r="V240">
        <v>259</v>
      </c>
      <c r="W240">
        <v>66.683300000000003</v>
      </c>
      <c r="X240">
        <v>221</v>
      </c>
      <c r="Y240">
        <v>-2.4400000000000002E-2</v>
      </c>
      <c r="Z240">
        <v>253</v>
      </c>
      <c r="AA240">
        <v>-7.9652000000000003</v>
      </c>
      <c r="AB240">
        <v>317</v>
      </c>
      <c r="AC240">
        <v>105.36799999999999</v>
      </c>
      <c r="AD240">
        <v>300</v>
      </c>
      <c r="AE240">
        <v>113.333</v>
      </c>
      <c r="AF240">
        <v>329</v>
      </c>
      <c r="AG240">
        <v>0.51129999999999998</v>
      </c>
      <c r="AH240">
        <v>169</v>
      </c>
      <c r="AJ240">
        <v>18.23</v>
      </c>
      <c r="AK240">
        <v>257</v>
      </c>
      <c r="AL240">
        <v>17.649999999999999</v>
      </c>
      <c r="AM240">
        <v>211</v>
      </c>
      <c r="AN240">
        <v>18.489999999999998</v>
      </c>
      <c r="AO240">
        <v>8</v>
      </c>
      <c r="AP240">
        <v>18.3</v>
      </c>
      <c r="AQ240">
        <v>7</v>
      </c>
    </row>
    <row r="241" spans="1:43" x14ac:dyDescent="0.2">
      <c r="A241" t="s">
        <v>1782</v>
      </c>
      <c r="B241">
        <v>2026</v>
      </c>
      <c r="C241" t="s">
        <v>165</v>
      </c>
      <c r="D241">
        <v>0</v>
      </c>
      <c r="E241" t="s">
        <v>953</v>
      </c>
      <c r="F241" t="s">
        <v>2022</v>
      </c>
      <c r="G241">
        <v>10</v>
      </c>
      <c r="H241">
        <v>21</v>
      </c>
      <c r="I241">
        <v>-6.3914999999999997</v>
      </c>
      <c r="J241">
        <v>240</v>
      </c>
      <c r="K241">
        <v>0.33200000000000002</v>
      </c>
      <c r="L241">
        <v>241</v>
      </c>
      <c r="M241">
        <v>101.98399999999999</v>
      </c>
      <c r="N241">
        <v>304</v>
      </c>
      <c r="O241">
        <v>101.91200000000001</v>
      </c>
      <c r="P241">
        <v>305</v>
      </c>
      <c r="Q241">
        <v>108.376</v>
      </c>
      <c r="R241">
        <v>149</v>
      </c>
      <c r="S241">
        <v>107.768</v>
      </c>
      <c r="T241">
        <v>162</v>
      </c>
      <c r="U241">
        <v>68.370400000000004</v>
      </c>
      <c r="V241">
        <v>179</v>
      </c>
      <c r="W241">
        <v>66.512200000000007</v>
      </c>
      <c r="X241">
        <v>227</v>
      </c>
      <c r="Y241">
        <v>-9.6299999999999997E-2</v>
      </c>
      <c r="Z241">
        <v>357</v>
      </c>
      <c r="AA241">
        <v>-0.55189999999999995</v>
      </c>
      <c r="AB241">
        <v>162</v>
      </c>
      <c r="AC241">
        <v>109.84</v>
      </c>
      <c r="AD241">
        <v>129</v>
      </c>
      <c r="AE241">
        <v>110.392</v>
      </c>
      <c r="AF241">
        <v>199</v>
      </c>
      <c r="AG241">
        <v>1.7990999999999999</v>
      </c>
      <c r="AH241">
        <v>129</v>
      </c>
      <c r="AJ241">
        <v>18.28</v>
      </c>
      <c r="AK241">
        <v>264</v>
      </c>
      <c r="AL241">
        <v>16.91</v>
      </c>
      <c r="AM241">
        <v>50</v>
      </c>
      <c r="AN241">
        <v>18.3</v>
      </c>
      <c r="AO241">
        <v>11</v>
      </c>
      <c r="AP241">
        <v>17.03</v>
      </c>
      <c r="AQ241">
        <v>3</v>
      </c>
    </row>
    <row r="242" spans="1:43" x14ac:dyDescent="0.2">
      <c r="A242" t="s">
        <v>1782</v>
      </c>
      <c r="B242">
        <v>2026</v>
      </c>
      <c r="C242" t="s">
        <v>99</v>
      </c>
      <c r="D242">
        <v>0</v>
      </c>
      <c r="E242" t="s">
        <v>987</v>
      </c>
      <c r="F242" t="s">
        <v>2023</v>
      </c>
      <c r="G242">
        <v>15</v>
      </c>
      <c r="H242">
        <v>17</v>
      </c>
      <c r="I242">
        <v>-6.4333999999999998</v>
      </c>
      <c r="J242">
        <v>241</v>
      </c>
      <c r="K242">
        <v>0.3367</v>
      </c>
      <c r="L242">
        <v>239</v>
      </c>
      <c r="M242">
        <v>105.91800000000001</v>
      </c>
      <c r="N242">
        <v>236</v>
      </c>
      <c r="O242">
        <v>107.64</v>
      </c>
      <c r="P242">
        <v>193</v>
      </c>
      <c r="Q242">
        <v>112.351</v>
      </c>
      <c r="R242">
        <v>240</v>
      </c>
      <c r="S242">
        <v>107.459</v>
      </c>
      <c r="T242">
        <v>146</v>
      </c>
      <c r="U242">
        <v>73.330500000000001</v>
      </c>
      <c r="V242">
        <v>11</v>
      </c>
      <c r="W242">
        <v>71.570599999999999</v>
      </c>
      <c r="X242">
        <v>13</v>
      </c>
      <c r="Y242">
        <v>-8.9800000000000005E-2</v>
      </c>
      <c r="Z242">
        <v>349</v>
      </c>
      <c r="AA242">
        <v>-6.3959000000000001</v>
      </c>
      <c r="AB242">
        <v>291</v>
      </c>
      <c r="AC242">
        <v>106.08799999999999</v>
      </c>
      <c r="AD242">
        <v>290</v>
      </c>
      <c r="AE242">
        <v>112.48399999999999</v>
      </c>
      <c r="AF242">
        <v>294</v>
      </c>
      <c r="AG242">
        <v>-5.4901999999999997</v>
      </c>
      <c r="AH242">
        <v>312</v>
      </c>
      <c r="AJ242">
        <v>16.100000000000001</v>
      </c>
      <c r="AK242">
        <v>34</v>
      </c>
      <c r="AL242">
        <v>16.63</v>
      </c>
      <c r="AM242">
        <v>22</v>
      </c>
      <c r="AN242">
        <v>16.32</v>
      </c>
      <c r="AO242">
        <v>2</v>
      </c>
      <c r="AP242">
        <v>16.63</v>
      </c>
      <c r="AQ242">
        <v>3</v>
      </c>
    </row>
    <row r="243" spans="1:43" x14ac:dyDescent="0.2">
      <c r="A243" t="s">
        <v>1782</v>
      </c>
      <c r="B243">
        <v>2026</v>
      </c>
      <c r="C243" t="s">
        <v>3</v>
      </c>
      <c r="D243">
        <v>0</v>
      </c>
      <c r="E243" t="s">
        <v>983</v>
      </c>
      <c r="F243" t="s">
        <v>2024</v>
      </c>
      <c r="G243">
        <v>14</v>
      </c>
      <c r="H243">
        <v>19</v>
      </c>
      <c r="I243">
        <v>-6.5434000000000001</v>
      </c>
      <c r="J243">
        <v>242</v>
      </c>
      <c r="K243">
        <v>0.32740000000000002</v>
      </c>
      <c r="L243">
        <v>247</v>
      </c>
      <c r="M243">
        <v>101.264</v>
      </c>
      <c r="N243">
        <v>311</v>
      </c>
      <c r="O243">
        <v>98.280600000000007</v>
      </c>
      <c r="P243">
        <v>341</v>
      </c>
      <c r="Q243">
        <v>107.80800000000001</v>
      </c>
      <c r="R243">
        <v>140</v>
      </c>
      <c r="S243">
        <v>106.58199999999999</v>
      </c>
      <c r="T243">
        <v>127</v>
      </c>
      <c r="U243">
        <v>68.933999999999997</v>
      </c>
      <c r="V243">
        <v>154</v>
      </c>
      <c r="W243">
        <v>67.853800000000007</v>
      </c>
      <c r="X243">
        <v>148</v>
      </c>
      <c r="Y243">
        <v>2.9100000000000001E-2</v>
      </c>
      <c r="Z243">
        <v>111</v>
      </c>
      <c r="AA243">
        <v>0.19370000000000001</v>
      </c>
      <c r="AB243">
        <v>146</v>
      </c>
      <c r="AC243">
        <v>108.371</v>
      </c>
      <c r="AD243">
        <v>211</v>
      </c>
      <c r="AE243">
        <v>108.17700000000001</v>
      </c>
      <c r="AF243">
        <v>120</v>
      </c>
      <c r="AG243">
        <v>0.79900000000000004</v>
      </c>
      <c r="AH243">
        <v>158</v>
      </c>
      <c r="AJ243">
        <v>17.690000000000001</v>
      </c>
      <c r="AK243">
        <v>198</v>
      </c>
      <c r="AL243">
        <v>16.88</v>
      </c>
      <c r="AM243">
        <v>44</v>
      </c>
      <c r="AN243">
        <v>17.05</v>
      </c>
      <c r="AO243">
        <v>2</v>
      </c>
      <c r="AP243">
        <v>17.5</v>
      </c>
      <c r="AQ243">
        <v>4</v>
      </c>
    </row>
    <row r="244" spans="1:43" x14ac:dyDescent="0.2">
      <c r="A244" t="s">
        <v>1782</v>
      </c>
      <c r="B244">
        <v>2026</v>
      </c>
      <c r="C244" t="s">
        <v>51</v>
      </c>
      <c r="D244">
        <v>0</v>
      </c>
      <c r="E244" t="s">
        <v>1154</v>
      </c>
      <c r="F244" t="s">
        <v>2025</v>
      </c>
      <c r="G244">
        <v>17</v>
      </c>
      <c r="H244">
        <v>15</v>
      </c>
      <c r="I244">
        <v>-6.6142000000000003</v>
      </c>
      <c r="J244">
        <v>243</v>
      </c>
      <c r="K244">
        <v>0.32929999999999998</v>
      </c>
      <c r="L244">
        <v>244</v>
      </c>
      <c r="M244">
        <v>103.637</v>
      </c>
      <c r="N244">
        <v>279</v>
      </c>
      <c r="O244">
        <v>103.937</v>
      </c>
      <c r="P244">
        <v>273</v>
      </c>
      <c r="Q244">
        <v>110.251</v>
      </c>
      <c r="R244">
        <v>194</v>
      </c>
      <c r="S244">
        <v>107.645</v>
      </c>
      <c r="T244">
        <v>153</v>
      </c>
      <c r="U244">
        <v>70.925899999999999</v>
      </c>
      <c r="V244">
        <v>59</v>
      </c>
      <c r="W244">
        <v>69.0137</v>
      </c>
      <c r="X244">
        <v>91</v>
      </c>
      <c r="Y244">
        <v>6.9000000000000006E-2</v>
      </c>
      <c r="Z244">
        <v>33</v>
      </c>
      <c r="AA244">
        <v>-7.2367999999999997</v>
      </c>
      <c r="AB244">
        <v>305</v>
      </c>
      <c r="AC244">
        <v>104.926</v>
      </c>
      <c r="AD244">
        <v>307</v>
      </c>
      <c r="AE244">
        <v>112.16200000000001</v>
      </c>
      <c r="AF244">
        <v>277</v>
      </c>
      <c r="AG244">
        <v>13.825900000000001</v>
      </c>
      <c r="AH244">
        <v>6</v>
      </c>
      <c r="AJ244">
        <v>17.28</v>
      </c>
      <c r="AK244">
        <v>147</v>
      </c>
      <c r="AL244">
        <v>16.64</v>
      </c>
      <c r="AM244">
        <v>25</v>
      </c>
      <c r="AN244">
        <v>17.05</v>
      </c>
      <c r="AO244">
        <v>7</v>
      </c>
      <c r="AP244">
        <v>16.809999999999999</v>
      </c>
      <c r="AQ244">
        <v>3</v>
      </c>
    </row>
    <row r="245" spans="1:43" x14ac:dyDescent="0.2">
      <c r="A245" t="s">
        <v>1782</v>
      </c>
      <c r="B245">
        <v>2026</v>
      </c>
      <c r="C245" t="s">
        <v>185</v>
      </c>
      <c r="D245">
        <v>0</v>
      </c>
      <c r="E245" t="s">
        <v>1055</v>
      </c>
      <c r="F245" t="s">
        <v>2026</v>
      </c>
      <c r="G245">
        <v>16</v>
      </c>
      <c r="H245">
        <v>18</v>
      </c>
      <c r="I245">
        <v>-6.6254999999999997</v>
      </c>
      <c r="J245">
        <v>244</v>
      </c>
      <c r="K245">
        <v>0.33200000000000002</v>
      </c>
      <c r="L245">
        <v>242</v>
      </c>
      <c r="M245">
        <v>105.68300000000001</v>
      </c>
      <c r="N245">
        <v>242</v>
      </c>
      <c r="O245">
        <v>109.614</v>
      </c>
      <c r="P245">
        <v>148</v>
      </c>
      <c r="Q245">
        <v>112.30800000000001</v>
      </c>
      <c r="R245">
        <v>238</v>
      </c>
      <c r="S245">
        <v>111.398</v>
      </c>
      <c r="T245">
        <v>254</v>
      </c>
      <c r="U245">
        <v>69.072299999999998</v>
      </c>
      <c r="V245">
        <v>145</v>
      </c>
      <c r="W245">
        <v>67.554199999999994</v>
      </c>
      <c r="X245">
        <v>169</v>
      </c>
      <c r="Y245">
        <v>-2.9100000000000001E-2</v>
      </c>
      <c r="Z245">
        <v>266</v>
      </c>
      <c r="AA245">
        <v>-5.9256000000000002</v>
      </c>
      <c r="AB245">
        <v>283</v>
      </c>
      <c r="AC245">
        <v>108.157</v>
      </c>
      <c r="AD245">
        <v>223</v>
      </c>
      <c r="AE245">
        <v>114.08199999999999</v>
      </c>
      <c r="AF245">
        <v>349</v>
      </c>
      <c r="AG245">
        <v>5.8799999999999998E-2</v>
      </c>
      <c r="AH245">
        <v>184</v>
      </c>
      <c r="AJ245">
        <v>17.25</v>
      </c>
      <c r="AK245">
        <v>141</v>
      </c>
      <c r="AL245">
        <v>17.32</v>
      </c>
      <c r="AM245">
        <v>132</v>
      </c>
      <c r="AN245">
        <v>17.18</v>
      </c>
      <c r="AO245">
        <v>5</v>
      </c>
      <c r="AP245">
        <v>17.97</v>
      </c>
      <c r="AQ245">
        <v>10</v>
      </c>
    </row>
    <row r="246" spans="1:43" x14ac:dyDescent="0.2">
      <c r="A246" t="s">
        <v>1782</v>
      </c>
      <c r="B246">
        <v>2026</v>
      </c>
      <c r="C246" t="s">
        <v>605</v>
      </c>
      <c r="D246">
        <v>0</v>
      </c>
      <c r="E246" t="s">
        <v>1045</v>
      </c>
      <c r="F246" t="s">
        <v>2027</v>
      </c>
      <c r="G246">
        <v>19</v>
      </c>
      <c r="H246">
        <v>13</v>
      </c>
      <c r="I246">
        <v>-6.6449999999999996</v>
      </c>
      <c r="J246">
        <v>245</v>
      </c>
      <c r="K246">
        <v>0.32929999999999998</v>
      </c>
      <c r="L246">
        <v>245</v>
      </c>
      <c r="M246">
        <v>104.113</v>
      </c>
      <c r="N246">
        <v>270</v>
      </c>
      <c r="O246">
        <v>105.488</v>
      </c>
      <c r="P246">
        <v>242</v>
      </c>
      <c r="Q246">
        <v>110.758</v>
      </c>
      <c r="R246">
        <v>207</v>
      </c>
      <c r="S246">
        <v>106.30800000000001</v>
      </c>
      <c r="T246">
        <v>118</v>
      </c>
      <c r="U246">
        <v>67.315299999999993</v>
      </c>
      <c r="V246">
        <v>234</v>
      </c>
      <c r="W246">
        <v>66.027000000000001</v>
      </c>
      <c r="X246">
        <v>253</v>
      </c>
      <c r="Y246">
        <v>8.3799999999999999E-2</v>
      </c>
      <c r="Z246">
        <v>23</v>
      </c>
      <c r="AA246">
        <v>-6.8761000000000001</v>
      </c>
      <c r="AB246">
        <v>298</v>
      </c>
      <c r="AC246">
        <v>105.494</v>
      </c>
      <c r="AD246">
        <v>299</v>
      </c>
      <c r="AE246">
        <v>112.37</v>
      </c>
      <c r="AF246">
        <v>287</v>
      </c>
      <c r="AG246">
        <v>-9.1141000000000005</v>
      </c>
      <c r="AH246">
        <v>358</v>
      </c>
      <c r="AJ246">
        <v>17.739999999999998</v>
      </c>
      <c r="AK246">
        <v>206</v>
      </c>
      <c r="AL246">
        <v>17.670000000000002</v>
      </c>
      <c r="AM246">
        <v>219</v>
      </c>
      <c r="AN246">
        <v>17.52</v>
      </c>
      <c r="AO246">
        <v>6</v>
      </c>
      <c r="AP246">
        <v>17.920000000000002</v>
      </c>
      <c r="AQ246">
        <v>10</v>
      </c>
    </row>
    <row r="247" spans="1:43" x14ac:dyDescent="0.2">
      <c r="A247" t="s">
        <v>1782</v>
      </c>
      <c r="B247">
        <v>2026</v>
      </c>
      <c r="C247" t="s">
        <v>643</v>
      </c>
      <c r="D247">
        <v>0</v>
      </c>
      <c r="E247" t="s">
        <v>987</v>
      </c>
      <c r="F247" t="s">
        <v>2028</v>
      </c>
      <c r="G247">
        <v>15</v>
      </c>
      <c r="H247">
        <v>17</v>
      </c>
      <c r="I247">
        <v>-6.7291999999999996</v>
      </c>
      <c r="J247">
        <v>246</v>
      </c>
      <c r="K247">
        <v>0.32840000000000003</v>
      </c>
      <c r="L247">
        <v>246</v>
      </c>
      <c r="M247">
        <v>104.87</v>
      </c>
      <c r="N247">
        <v>258</v>
      </c>
      <c r="O247">
        <v>105.669</v>
      </c>
      <c r="P247">
        <v>238</v>
      </c>
      <c r="Q247">
        <v>111.599</v>
      </c>
      <c r="R247">
        <v>219</v>
      </c>
      <c r="S247">
        <v>108.979</v>
      </c>
      <c r="T247">
        <v>195</v>
      </c>
      <c r="U247">
        <v>67.096599999999995</v>
      </c>
      <c r="V247">
        <v>242</v>
      </c>
      <c r="W247">
        <v>64.793300000000002</v>
      </c>
      <c r="X247">
        <v>314</v>
      </c>
      <c r="Y247">
        <v>-1.6400000000000001E-2</v>
      </c>
      <c r="Z247">
        <v>227</v>
      </c>
      <c r="AA247">
        <v>-3.7498999999999998</v>
      </c>
      <c r="AB247">
        <v>236</v>
      </c>
      <c r="AC247">
        <v>108.087</v>
      </c>
      <c r="AD247">
        <v>229</v>
      </c>
      <c r="AE247">
        <v>111.836</v>
      </c>
      <c r="AF247">
        <v>262</v>
      </c>
      <c r="AG247">
        <v>1.0729</v>
      </c>
      <c r="AH247">
        <v>152</v>
      </c>
      <c r="AJ247">
        <v>19.25</v>
      </c>
      <c r="AK247">
        <v>346</v>
      </c>
      <c r="AL247">
        <v>16.690000000000001</v>
      </c>
      <c r="AM247">
        <v>30</v>
      </c>
      <c r="AN247">
        <v>19.82</v>
      </c>
      <c r="AO247">
        <v>9</v>
      </c>
      <c r="AP247">
        <v>16.52</v>
      </c>
      <c r="AQ247">
        <v>2</v>
      </c>
    </row>
    <row r="248" spans="1:43" x14ac:dyDescent="0.2">
      <c r="A248" t="s">
        <v>1782</v>
      </c>
      <c r="B248">
        <v>2026</v>
      </c>
      <c r="C248" t="s">
        <v>113</v>
      </c>
      <c r="D248">
        <v>0</v>
      </c>
      <c r="E248" t="s">
        <v>1045</v>
      </c>
      <c r="F248" t="s">
        <v>2029</v>
      </c>
      <c r="G248">
        <v>19</v>
      </c>
      <c r="H248">
        <v>13</v>
      </c>
      <c r="I248">
        <v>-6.8456999999999999</v>
      </c>
      <c r="J248">
        <v>247</v>
      </c>
      <c r="K248">
        <v>0.32129999999999997</v>
      </c>
      <c r="L248">
        <v>251</v>
      </c>
      <c r="M248">
        <v>101.917</v>
      </c>
      <c r="N248">
        <v>305</v>
      </c>
      <c r="O248">
        <v>102.729</v>
      </c>
      <c r="P248">
        <v>296</v>
      </c>
      <c r="Q248">
        <v>108.76300000000001</v>
      </c>
      <c r="R248">
        <v>161</v>
      </c>
      <c r="S248">
        <v>105.255</v>
      </c>
      <c r="T248">
        <v>99</v>
      </c>
      <c r="U248">
        <v>68.341399999999993</v>
      </c>
      <c r="V248">
        <v>184</v>
      </c>
      <c r="W248">
        <v>66.837599999999995</v>
      </c>
      <c r="X248">
        <v>212</v>
      </c>
      <c r="Y248">
        <v>0.1323</v>
      </c>
      <c r="Z248">
        <v>4</v>
      </c>
      <c r="AA248">
        <v>-4.9825999999999997</v>
      </c>
      <c r="AB248">
        <v>264</v>
      </c>
      <c r="AC248">
        <v>106.95</v>
      </c>
      <c r="AD248">
        <v>273</v>
      </c>
      <c r="AE248">
        <v>111.93300000000001</v>
      </c>
      <c r="AF248">
        <v>268</v>
      </c>
      <c r="AG248">
        <v>-2.1368999999999998</v>
      </c>
      <c r="AH248">
        <v>246</v>
      </c>
      <c r="AJ248">
        <v>18.670000000000002</v>
      </c>
      <c r="AK248">
        <v>307</v>
      </c>
      <c r="AL248">
        <v>16.62</v>
      </c>
      <c r="AM248">
        <v>19</v>
      </c>
      <c r="AN248">
        <v>19.309999999999999</v>
      </c>
      <c r="AO248">
        <v>13</v>
      </c>
      <c r="AP248">
        <v>16.5</v>
      </c>
      <c r="AQ248">
        <v>1</v>
      </c>
    </row>
    <row r="249" spans="1:43" x14ac:dyDescent="0.2">
      <c r="A249" t="s">
        <v>1782</v>
      </c>
      <c r="B249">
        <v>2026</v>
      </c>
      <c r="C249" t="s">
        <v>115</v>
      </c>
      <c r="D249">
        <v>0</v>
      </c>
      <c r="E249" t="s">
        <v>1043</v>
      </c>
      <c r="F249" t="s">
        <v>2030</v>
      </c>
      <c r="G249">
        <v>18</v>
      </c>
      <c r="H249">
        <v>15</v>
      </c>
      <c r="I249">
        <v>-6.9930000000000003</v>
      </c>
      <c r="J249">
        <v>248</v>
      </c>
      <c r="K249">
        <v>0.32690000000000002</v>
      </c>
      <c r="L249">
        <v>248</v>
      </c>
      <c r="M249">
        <v>107.9</v>
      </c>
      <c r="N249">
        <v>194</v>
      </c>
      <c r="O249">
        <v>110.235</v>
      </c>
      <c r="P249">
        <v>133</v>
      </c>
      <c r="Q249">
        <v>114.893</v>
      </c>
      <c r="R249">
        <v>288</v>
      </c>
      <c r="S249">
        <v>111.465</v>
      </c>
      <c r="T249">
        <v>255</v>
      </c>
      <c r="U249">
        <v>66.878600000000006</v>
      </c>
      <c r="V249">
        <v>251</v>
      </c>
      <c r="W249">
        <v>66.869600000000005</v>
      </c>
      <c r="X249">
        <v>209</v>
      </c>
      <c r="Y249">
        <v>4.36E-2</v>
      </c>
      <c r="Z249">
        <v>72</v>
      </c>
      <c r="AA249">
        <v>-6.9741999999999997</v>
      </c>
      <c r="AB249">
        <v>299</v>
      </c>
      <c r="AC249">
        <v>106.291</v>
      </c>
      <c r="AD249">
        <v>285</v>
      </c>
      <c r="AE249">
        <v>113.265</v>
      </c>
      <c r="AF249">
        <v>326</v>
      </c>
      <c r="AG249">
        <v>5.3146000000000004</v>
      </c>
      <c r="AH249">
        <v>63</v>
      </c>
      <c r="AJ249">
        <v>17.45</v>
      </c>
      <c r="AK249">
        <v>163</v>
      </c>
      <c r="AL249">
        <v>18.22</v>
      </c>
      <c r="AM249">
        <v>325</v>
      </c>
      <c r="AN249">
        <v>17.2</v>
      </c>
      <c r="AO249">
        <v>1</v>
      </c>
      <c r="AP249">
        <v>18.57</v>
      </c>
      <c r="AQ249">
        <v>10</v>
      </c>
    </row>
    <row r="250" spans="1:43" x14ac:dyDescent="0.2">
      <c r="A250" t="s">
        <v>1782</v>
      </c>
      <c r="B250">
        <v>2026</v>
      </c>
      <c r="C250" t="s">
        <v>239</v>
      </c>
      <c r="D250">
        <v>0</v>
      </c>
      <c r="E250" t="s">
        <v>1031</v>
      </c>
      <c r="F250" t="s">
        <v>2031</v>
      </c>
      <c r="G250">
        <v>13</v>
      </c>
      <c r="H250">
        <v>20</v>
      </c>
      <c r="I250">
        <v>-6.9993999999999996</v>
      </c>
      <c r="J250">
        <v>249</v>
      </c>
      <c r="K250">
        <v>0.32929999999999998</v>
      </c>
      <c r="L250">
        <v>243</v>
      </c>
      <c r="M250">
        <v>109.702</v>
      </c>
      <c r="N250">
        <v>163</v>
      </c>
      <c r="O250">
        <v>109.337</v>
      </c>
      <c r="P250">
        <v>153</v>
      </c>
      <c r="Q250">
        <v>116.702</v>
      </c>
      <c r="R250">
        <v>314</v>
      </c>
      <c r="S250">
        <v>115.599</v>
      </c>
      <c r="T250">
        <v>330</v>
      </c>
      <c r="U250">
        <v>67.028300000000002</v>
      </c>
      <c r="V250">
        <v>245</v>
      </c>
      <c r="W250">
        <v>65.483099999999993</v>
      </c>
      <c r="X250">
        <v>287</v>
      </c>
      <c r="Y250">
        <v>-3.5299999999999998E-2</v>
      </c>
      <c r="Z250">
        <v>287</v>
      </c>
      <c r="AA250">
        <v>-0.61080000000000001</v>
      </c>
      <c r="AB250">
        <v>164</v>
      </c>
      <c r="AC250">
        <v>109.172</v>
      </c>
      <c r="AD250">
        <v>161</v>
      </c>
      <c r="AE250">
        <v>109.783</v>
      </c>
      <c r="AF250">
        <v>173</v>
      </c>
      <c r="AG250">
        <v>3.5657000000000001</v>
      </c>
      <c r="AH250">
        <v>95</v>
      </c>
      <c r="AJ250">
        <v>19</v>
      </c>
      <c r="AK250">
        <v>329</v>
      </c>
      <c r="AL250">
        <v>16.940000000000001</v>
      </c>
      <c r="AM250">
        <v>55</v>
      </c>
      <c r="AN250">
        <v>18.52</v>
      </c>
      <c r="AO250">
        <v>9</v>
      </c>
      <c r="AP250">
        <v>17.46</v>
      </c>
      <c r="AQ250">
        <v>5</v>
      </c>
    </row>
    <row r="251" spans="1:43" x14ac:dyDescent="0.2">
      <c r="A251" t="s">
        <v>1782</v>
      </c>
      <c r="B251">
        <v>2026</v>
      </c>
      <c r="C251" t="s">
        <v>447</v>
      </c>
      <c r="D251">
        <v>0</v>
      </c>
      <c r="E251" t="s">
        <v>1045</v>
      </c>
      <c r="F251" t="s">
        <v>2032</v>
      </c>
      <c r="G251">
        <v>12</v>
      </c>
      <c r="H251">
        <v>21</v>
      </c>
      <c r="I251">
        <v>-7.0118</v>
      </c>
      <c r="J251">
        <v>250</v>
      </c>
      <c r="K251">
        <v>0.32400000000000001</v>
      </c>
      <c r="L251">
        <v>249</v>
      </c>
      <c r="M251">
        <v>106.19199999999999</v>
      </c>
      <c r="N251">
        <v>229</v>
      </c>
      <c r="O251">
        <v>107.19799999999999</v>
      </c>
      <c r="P251">
        <v>206</v>
      </c>
      <c r="Q251">
        <v>113.20399999999999</v>
      </c>
      <c r="R251">
        <v>254</v>
      </c>
      <c r="S251">
        <v>110.929</v>
      </c>
      <c r="T251">
        <v>239</v>
      </c>
      <c r="U251">
        <v>70.295199999999994</v>
      </c>
      <c r="V251">
        <v>82</v>
      </c>
      <c r="W251">
        <v>68.980199999999996</v>
      </c>
      <c r="X251">
        <v>93</v>
      </c>
      <c r="Y251">
        <v>-7.3400000000000007E-2</v>
      </c>
      <c r="Z251">
        <v>338</v>
      </c>
      <c r="AA251">
        <v>-3.1006999999999998</v>
      </c>
      <c r="AB251">
        <v>222</v>
      </c>
      <c r="AC251">
        <v>108.36199999999999</v>
      </c>
      <c r="AD251">
        <v>213</v>
      </c>
      <c r="AE251">
        <v>111.46299999999999</v>
      </c>
      <c r="AF251">
        <v>238</v>
      </c>
      <c r="AG251">
        <v>4.5928000000000004</v>
      </c>
      <c r="AH251">
        <v>78</v>
      </c>
      <c r="AJ251">
        <v>17.149999999999999</v>
      </c>
      <c r="AK251">
        <v>124</v>
      </c>
      <c r="AL251">
        <v>16.91</v>
      </c>
      <c r="AM251">
        <v>48</v>
      </c>
      <c r="AN251">
        <v>17.010000000000002</v>
      </c>
      <c r="AO251">
        <v>4</v>
      </c>
      <c r="AP251">
        <v>16.77</v>
      </c>
      <c r="AQ251">
        <v>3</v>
      </c>
    </row>
    <row r="252" spans="1:43" x14ac:dyDescent="0.2">
      <c r="A252" t="s">
        <v>1782</v>
      </c>
      <c r="B252">
        <v>2026</v>
      </c>
      <c r="C252" t="s">
        <v>475</v>
      </c>
      <c r="D252">
        <v>0</v>
      </c>
      <c r="E252" t="s">
        <v>973</v>
      </c>
      <c r="F252" t="s">
        <v>2033</v>
      </c>
      <c r="G252">
        <v>9</v>
      </c>
      <c r="H252">
        <v>20</v>
      </c>
      <c r="I252">
        <v>-7.1162000000000001</v>
      </c>
      <c r="J252">
        <v>251</v>
      </c>
      <c r="K252">
        <v>0.32079999999999997</v>
      </c>
      <c r="L252">
        <v>253</v>
      </c>
      <c r="M252">
        <v>105.57</v>
      </c>
      <c r="N252">
        <v>245</v>
      </c>
      <c r="O252">
        <v>104.07</v>
      </c>
      <c r="P252">
        <v>270</v>
      </c>
      <c r="Q252">
        <v>112.68600000000001</v>
      </c>
      <c r="R252">
        <v>247</v>
      </c>
      <c r="S252">
        <v>111.276</v>
      </c>
      <c r="T252">
        <v>252</v>
      </c>
      <c r="U252">
        <v>64.500500000000002</v>
      </c>
      <c r="V252">
        <v>342</v>
      </c>
      <c r="W252">
        <v>63.456299999999999</v>
      </c>
      <c r="X252">
        <v>346</v>
      </c>
      <c r="Y252">
        <v>-7.6700000000000004E-2</v>
      </c>
      <c r="Z252">
        <v>341</v>
      </c>
      <c r="AA252">
        <v>-0.96640000000000004</v>
      </c>
      <c r="AB252">
        <v>172</v>
      </c>
      <c r="AC252">
        <v>109.152</v>
      </c>
      <c r="AD252">
        <v>162</v>
      </c>
      <c r="AE252">
        <v>110.119</v>
      </c>
      <c r="AF252">
        <v>189</v>
      </c>
      <c r="AG252">
        <v>-0.56120000000000003</v>
      </c>
      <c r="AH252">
        <v>198</v>
      </c>
      <c r="AJ252">
        <v>20.04</v>
      </c>
      <c r="AK252">
        <v>364</v>
      </c>
      <c r="AL252">
        <v>17.3</v>
      </c>
      <c r="AM252">
        <v>126</v>
      </c>
      <c r="AN252">
        <v>20.79</v>
      </c>
      <c r="AO252">
        <v>8</v>
      </c>
      <c r="AP252">
        <v>17.829999999999998</v>
      </c>
      <c r="AQ252">
        <v>2</v>
      </c>
    </row>
    <row r="253" spans="1:43" x14ac:dyDescent="0.2">
      <c r="A253" t="s">
        <v>1782</v>
      </c>
      <c r="B253">
        <v>2026</v>
      </c>
      <c r="C253" t="s">
        <v>563</v>
      </c>
      <c r="D253">
        <v>0</v>
      </c>
      <c r="E253" t="s">
        <v>983</v>
      </c>
      <c r="F253" t="s">
        <v>2034</v>
      </c>
      <c r="G253">
        <v>10</v>
      </c>
      <c r="H253">
        <v>22</v>
      </c>
      <c r="I253">
        <v>-7.1285999999999996</v>
      </c>
      <c r="J253">
        <v>252</v>
      </c>
      <c r="K253">
        <v>0.32219999999999999</v>
      </c>
      <c r="L253">
        <v>250</v>
      </c>
      <c r="M253">
        <v>106.699</v>
      </c>
      <c r="N253">
        <v>220</v>
      </c>
      <c r="O253">
        <v>101.533</v>
      </c>
      <c r="P253">
        <v>309</v>
      </c>
      <c r="Q253">
        <v>113.828</v>
      </c>
      <c r="R253">
        <v>267</v>
      </c>
      <c r="S253">
        <v>113.663</v>
      </c>
      <c r="T253">
        <v>304</v>
      </c>
      <c r="U253">
        <v>70.831199999999995</v>
      </c>
      <c r="V253">
        <v>62</v>
      </c>
      <c r="W253">
        <v>70.253600000000006</v>
      </c>
      <c r="X253">
        <v>34</v>
      </c>
      <c r="Y253">
        <v>-5.2900000000000003E-2</v>
      </c>
      <c r="Z253">
        <v>313</v>
      </c>
      <c r="AA253">
        <v>2.1038000000000001</v>
      </c>
      <c r="AB253">
        <v>109</v>
      </c>
      <c r="AC253">
        <v>108.74299999999999</v>
      </c>
      <c r="AD253">
        <v>183</v>
      </c>
      <c r="AE253">
        <v>106.639</v>
      </c>
      <c r="AF253">
        <v>90</v>
      </c>
      <c r="AG253">
        <v>5.7176</v>
      </c>
      <c r="AH253">
        <v>55</v>
      </c>
      <c r="AJ253">
        <v>17.059999999999999</v>
      </c>
      <c r="AK253">
        <v>113</v>
      </c>
      <c r="AL253">
        <v>16.68</v>
      </c>
      <c r="AM253">
        <v>29</v>
      </c>
      <c r="AN253">
        <v>17.27</v>
      </c>
      <c r="AO253">
        <v>4</v>
      </c>
      <c r="AP253">
        <v>16.75</v>
      </c>
      <c r="AQ253">
        <v>1</v>
      </c>
    </row>
    <row r="254" spans="1:43" x14ac:dyDescent="0.2">
      <c r="A254" t="s">
        <v>1782</v>
      </c>
      <c r="B254">
        <v>2026</v>
      </c>
      <c r="C254" t="s">
        <v>717</v>
      </c>
      <c r="D254">
        <v>0</v>
      </c>
      <c r="E254" t="s">
        <v>1071</v>
      </c>
      <c r="F254" t="s">
        <v>2035</v>
      </c>
      <c r="G254">
        <v>19</v>
      </c>
      <c r="H254">
        <v>13</v>
      </c>
      <c r="I254">
        <v>-7.3428000000000004</v>
      </c>
      <c r="J254">
        <v>253</v>
      </c>
      <c r="K254">
        <v>0.32129999999999997</v>
      </c>
      <c r="L254">
        <v>252</v>
      </c>
      <c r="M254">
        <v>109.294</v>
      </c>
      <c r="N254">
        <v>171</v>
      </c>
      <c r="O254">
        <v>113.854</v>
      </c>
      <c r="P254">
        <v>75</v>
      </c>
      <c r="Q254">
        <v>116.637</v>
      </c>
      <c r="R254">
        <v>313</v>
      </c>
      <c r="S254">
        <v>114.185</v>
      </c>
      <c r="T254">
        <v>312</v>
      </c>
      <c r="U254">
        <v>68.405199999999994</v>
      </c>
      <c r="V254">
        <v>178</v>
      </c>
      <c r="W254">
        <v>67.826800000000006</v>
      </c>
      <c r="X254">
        <v>152</v>
      </c>
      <c r="Y254">
        <v>7.3200000000000001E-2</v>
      </c>
      <c r="Z254">
        <v>28</v>
      </c>
      <c r="AA254">
        <v>-7.6538000000000004</v>
      </c>
      <c r="AB254">
        <v>313</v>
      </c>
      <c r="AC254">
        <v>108.077</v>
      </c>
      <c r="AD254">
        <v>230</v>
      </c>
      <c r="AE254">
        <v>115.73</v>
      </c>
      <c r="AF254">
        <v>365</v>
      </c>
      <c r="AG254">
        <v>-4.4622999999999999</v>
      </c>
      <c r="AH254">
        <v>294</v>
      </c>
      <c r="AJ254">
        <v>17.739999999999998</v>
      </c>
      <c r="AK254">
        <v>205</v>
      </c>
      <c r="AL254">
        <v>17.23</v>
      </c>
      <c r="AM254">
        <v>113</v>
      </c>
      <c r="AN254">
        <v>17.670000000000002</v>
      </c>
      <c r="AO254">
        <v>5</v>
      </c>
      <c r="AP254">
        <v>17.420000000000002</v>
      </c>
      <c r="AQ254">
        <v>1</v>
      </c>
    </row>
    <row r="255" spans="1:43" x14ac:dyDescent="0.2">
      <c r="A255" t="s">
        <v>1782</v>
      </c>
      <c r="B255">
        <v>2026</v>
      </c>
      <c r="C255" t="s">
        <v>155</v>
      </c>
      <c r="D255">
        <v>0</v>
      </c>
      <c r="E255" t="s">
        <v>940</v>
      </c>
      <c r="F255" t="s">
        <v>2036</v>
      </c>
      <c r="G255">
        <v>11</v>
      </c>
      <c r="H255">
        <v>20</v>
      </c>
      <c r="I255">
        <v>-7.4259000000000004</v>
      </c>
      <c r="J255">
        <v>254</v>
      </c>
      <c r="K255">
        <v>0.31109999999999999</v>
      </c>
      <c r="L255">
        <v>254</v>
      </c>
      <c r="M255">
        <v>103.767</v>
      </c>
      <c r="N255">
        <v>276</v>
      </c>
      <c r="O255">
        <v>102.253</v>
      </c>
      <c r="P255">
        <v>302</v>
      </c>
      <c r="Q255">
        <v>111.193</v>
      </c>
      <c r="R255">
        <v>212</v>
      </c>
      <c r="S255">
        <v>110.944</v>
      </c>
      <c r="T255">
        <v>241</v>
      </c>
      <c r="U255">
        <v>69.150999999999996</v>
      </c>
      <c r="V255">
        <v>141</v>
      </c>
      <c r="W255">
        <v>68.671199999999999</v>
      </c>
      <c r="X255">
        <v>111</v>
      </c>
      <c r="Y255">
        <v>-5.5999999999999999E-3</v>
      </c>
      <c r="Z255">
        <v>202</v>
      </c>
      <c r="AA255">
        <v>-0.55579999999999996</v>
      </c>
      <c r="AB255">
        <v>163</v>
      </c>
      <c r="AC255">
        <v>109.679</v>
      </c>
      <c r="AD255">
        <v>138</v>
      </c>
      <c r="AE255">
        <v>110.235</v>
      </c>
      <c r="AF255">
        <v>195</v>
      </c>
      <c r="AG255">
        <v>-3.0185</v>
      </c>
      <c r="AH255">
        <v>265</v>
      </c>
      <c r="AJ255">
        <v>17.55</v>
      </c>
      <c r="AK255">
        <v>178</v>
      </c>
      <c r="AL255">
        <v>17.149999999999999</v>
      </c>
      <c r="AM255">
        <v>92</v>
      </c>
      <c r="AN255">
        <v>17.489999999999998</v>
      </c>
      <c r="AO255">
        <v>8</v>
      </c>
      <c r="AP255">
        <v>17.54</v>
      </c>
      <c r="AQ255">
        <v>7</v>
      </c>
    </row>
    <row r="256" spans="1:43" x14ac:dyDescent="0.2">
      <c r="A256" t="s">
        <v>1782</v>
      </c>
      <c r="B256">
        <v>2026</v>
      </c>
      <c r="C256" t="s">
        <v>517</v>
      </c>
      <c r="D256">
        <v>0</v>
      </c>
      <c r="E256" t="s">
        <v>1084</v>
      </c>
      <c r="F256" t="s">
        <v>2037</v>
      </c>
      <c r="G256">
        <v>17</v>
      </c>
      <c r="H256">
        <v>12</v>
      </c>
      <c r="I256">
        <v>-7.5157999999999996</v>
      </c>
      <c r="J256">
        <v>255</v>
      </c>
      <c r="K256">
        <v>0.30809999999999998</v>
      </c>
      <c r="L256">
        <v>257</v>
      </c>
      <c r="M256">
        <v>103.128</v>
      </c>
      <c r="N256">
        <v>286</v>
      </c>
      <c r="O256">
        <v>104.834</v>
      </c>
      <c r="P256">
        <v>255</v>
      </c>
      <c r="Q256">
        <v>110.64400000000001</v>
      </c>
      <c r="R256">
        <v>204</v>
      </c>
      <c r="S256">
        <v>104.553</v>
      </c>
      <c r="T256">
        <v>85</v>
      </c>
      <c r="U256">
        <v>65.530900000000003</v>
      </c>
      <c r="V256">
        <v>317</v>
      </c>
      <c r="W256">
        <v>65.518799999999999</v>
      </c>
      <c r="X256">
        <v>282</v>
      </c>
      <c r="Y256">
        <v>6.59E-2</v>
      </c>
      <c r="Z256">
        <v>38</v>
      </c>
      <c r="AA256">
        <v>-8.0648999999999997</v>
      </c>
      <c r="AB256">
        <v>321</v>
      </c>
      <c r="AC256">
        <v>104.071</v>
      </c>
      <c r="AD256">
        <v>322</v>
      </c>
      <c r="AE256">
        <v>112.13500000000001</v>
      </c>
      <c r="AF256">
        <v>274</v>
      </c>
      <c r="AG256">
        <v>-1.0376000000000001</v>
      </c>
      <c r="AH256">
        <v>214</v>
      </c>
      <c r="AJ256">
        <v>19.02</v>
      </c>
      <c r="AK256">
        <v>331</v>
      </c>
      <c r="AL256">
        <v>17.760000000000002</v>
      </c>
      <c r="AM256">
        <v>239</v>
      </c>
      <c r="AN256">
        <v>18.940000000000001</v>
      </c>
      <c r="AO256">
        <v>8</v>
      </c>
      <c r="AP256">
        <v>18.079999999999998</v>
      </c>
      <c r="AQ256">
        <v>5</v>
      </c>
    </row>
    <row r="257" spans="1:43" x14ac:dyDescent="0.2">
      <c r="A257" t="s">
        <v>1782</v>
      </c>
      <c r="B257">
        <v>2026</v>
      </c>
      <c r="C257" t="s">
        <v>501</v>
      </c>
      <c r="D257">
        <v>0</v>
      </c>
      <c r="E257" t="s">
        <v>1093</v>
      </c>
      <c r="F257" t="s">
        <v>2038</v>
      </c>
      <c r="G257">
        <v>19</v>
      </c>
      <c r="H257">
        <v>13</v>
      </c>
      <c r="I257">
        <v>-7.6006999999999998</v>
      </c>
      <c r="J257">
        <v>256</v>
      </c>
      <c r="K257">
        <v>0.3004</v>
      </c>
      <c r="L257">
        <v>262</v>
      </c>
      <c r="M257">
        <v>99.643299999999996</v>
      </c>
      <c r="N257">
        <v>331</v>
      </c>
      <c r="O257">
        <v>102.52800000000001</v>
      </c>
      <c r="P257">
        <v>300</v>
      </c>
      <c r="Q257">
        <v>107.244</v>
      </c>
      <c r="R257">
        <v>131</v>
      </c>
      <c r="S257">
        <v>99.646799999999999</v>
      </c>
      <c r="T257">
        <v>26</v>
      </c>
      <c r="U257">
        <v>65.604399999999998</v>
      </c>
      <c r="V257">
        <v>315</v>
      </c>
      <c r="W257">
        <v>64.3827</v>
      </c>
      <c r="X257">
        <v>328</v>
      </c>
      <c r="Y257">
        <v>-7.1000000000000004E-3</v>
      </c>
      <c r="Z257">
        <v>209</v>
      </c>
      <c r="AA257">
        <v>-10.825699999999999</v>
      </c>
      <c r="AB257">
        <v>355</v>
      </c>
      <c r="AC257">
        <v>102.504</v>
      </c>
      <c r="AD257">
        <v>358</v>
      </c>
      <c r="AE257">
        <v>113.33</v>
      </c>
      <c r="AF257">
        <v>328</v>
      </c>
      <c r="AG257">
        <v>-7.8512000000000004</v>
      </c>
      <c r="AH257">
        <v>344</v>
      </c>
      <c r="AJ257">
        <v>18.25</v>
      </c>
      <c r="AK257">
        <v>263</v>
      </c>
      <c r="AL257">
        <v>18.170000000000002</v>
      </c>
      <c r="AM257">
        <v>310</v>
      </c>
      <c r="AN257">
        <v>18.45</v>
      </c>
      <c r="AO257">
        <v>8</v>
      </c>
      <c r="AP257">
        <v>18.29</v>
      </c>
      <c r="AQ257">
        <v>10</v>
      </c>
    </row>
    <row r="258" spans="1:43" x14ac:dyDescent="0.2">
      <c r="A258" t="s">
        <v>1782</v>
      </c>
      <c r="B258">
        <v>2026</v>
      </c>
      <c r="C258" t="s">
        <v>487</v>
      </c>
      <c r="D258">
        <v>0</v>
      </c>
      <c r="E258" t="s">
        <v>987</v>
      </c>
      <c r="F258" t="s">
        <v>2039</v>
      </c>
      <c r="G258">
        <v>16</v>
      </c>
      <c r="H258">
        <v>16</v>
      </c>
      <c r="I258">
        <v>-7.6628999999999996</v>
      </c>
      <c r="J258">
        <v>257</v>
      </c>
      <c r="K258">
        <v>0.31009999999999999</v>
      </c>
      <c r="L258">
        <v>256</v>
      </c>
      <c r="M258">
        <v>106.44</v>
      </c>
      <c r="N258">
        <v>224</v>
      </c>
      <c r="O258">
        <v>108.93</v>
      </c>
      <c r="P258">
        <v>166</v>
      </c>
      <c r="Q258">
        <v>114.10299999999999</v>
      </c>
      <c r="R258">
        <v>273</v>
      </c>
      <c r="S258">
        <v>109.794</v>
      </c>
      <c r="T258">
        <v>215</v>
      </c>
      <c r="U258">
        <v>72.425700000000006</v>
      </c>
      <c r="V258">
        <v>19</v>
      </c>
      <c r="W258">
        <v>70.615700000000004</v>
      </c>
      <c r="X258">
        <v>27</v>
      </c>
      <c r="Y258">
        <v>-3.56E-2</v>
      </c>
      <c r="Z258">
        <v>289</v>
      </c>
      <c r="AA258">
        <v>-7.1814999999999998</v>
      </c>
      <c r="AB258">
        <v>303</v>
      </c>
      <c r="AC258">
        <v>105.94799999999999</v>
      </c>
      <c r="AD258">
        <v>291</v>
      </c>
      <c r="AE258">
        <v>113.13</v>
      </c>
      <c r="AF258">
        <v>321</v>
      </c>
      <c r="AG258">
        <v>-6.4881000000000002</v>
      </c>
      <c r="AH258">
        <v>327</v>
      </c>
      <c r="AJ258">
        <v>16.13</v>
      </c>
      <c r="AK258">
        <v>35</v>
      </c>
      <c r="AL258">
        <v>17.03</v>
      </c>
      <c r="AM258">
        <v>67</v>
      </c>
      <c r="AN258">
        <v>16.5</v>
      </c>
      <c r="AO258">
        <v>3</v>
      </c>
      <c r="AP258">
        <v>17.28</v>
      </c>
      <c r="AQ258">
        <v>4</v>
      </c>
    </row>
    <row r="259" spans="1:43" x14ac:dyDescent="0.2">
      <c r="A259" t="s">
        <v>1782</v>
      </c>
      <c r="B259">
        <v>2026</v>
      </c>
      <c r="C259" t="s">
        <v>627</v>
      </c>
      <c r="D259">
        <v>0</v>
      </c>
      <c r="E259" t="s">
        <v>1001</v>
      </c>
      <c r="F259" t="s">
        <v>2040</v>
      </c>
      <c r="G259">
        <v>10</v>
      </c>
      <c r="H259">
        <v>22</v>
      </c>
      <c r="I259">
        <v>-7.7214</v>
      </c>
      <c r="J259">
        <v>258</v>
      </c>
      <c r="K259">
        <v>0.30520000000000003</v>
      </c>
      <c r="L259">
        <v>258</v>
      </c>
      <c r="M259">
        <v>104.14700000000001</v>
      </c>
      <c r="N259">
        <v>269</v>
      </c>
      <c r="O259">
        <v>100.813</v>
      </c>
      <c r="P259">
        <v>317</v>
      </c>
      <c r="Q259">
        <v>111.86799999999999</v>
      </c>
      <c r="R259">
        <v>227</v>
      </c>
      <c r="S259">
        <v>111.55500000000001</v>
      </c>
      <c r="T259">
        <v>258</v>
      </c>
      <c r="U259">
        <v>71.053700000000006</v>
      </c>
      <c r="V259">
        <v>54</v>
      </c>
      <c r="W259">
        <v>68.4666</v>
      </c>
      <c r="X259">
        <v>121</v>
      </c>
      <c r="Y259">
        <v>-4.7600000000000003E-2</v>
      </c>
      <c r="Z259">
        <v>303</v>
      </c>
      <c r="AA259">
        <v>1.5268999999999999</v>
      </c>
      <c r="AB259">
        <v>117</v>
      </c>
      <c r="AC259">
        <v>109.488</v>
      </c>
      <c r="AD259">
        <v>150</v>
      </c>
      <c r="AE259">
        <v>107.961</v>
      </c>
      <c r="AF259">
        <v>116</v>
      </c>
      <c r="AG259">
        <v>6.4043999999999999</v>
      </c>
      <c r="AH259">
        <v>46</v>
      </c>
      <c r="AJ259">
        <v>17.53</v>
      </c>
      <c r="AK259">
        <v>177</v>
      </c>
      <c r="AL259">
        <v>16.27</v>
      </c>
      <c r="AM259">
        <v>6</v>
      </c>
      <c r="AN259">
        <v>17.34</v>
      </c>
      <c r="AO259">
        <v>9</v>
      </c>
      <c r="AP259">
        <v>16.440000000000001</v>
      </c>
      <c r="AQ259">
        <v>6</v>
      </c>
    </row>
    <row r="260" spans="1:43" x14ac:dyDescent="0.2">
      <c r="A260" t="s">
        <v>1782</v>
      </c>
      <c r="B260">
        <v>2026</v>
      </c>
      <c r="C260" t="s">
        <v>255</v>
      </c>
      <c r="D260">
        <v>0</v>
      </c>
      <c r="E260" t="s">
        <v>1084</v>
      </c>
      <c r="F260" t="s">
        <v>2041</v>
      </c>
      <c r="G260">
        <v>18</v>
      </c>
      <c r="H260">
        <v>14</v>
      </c>
      <c r="I260">
        <v>-7.7228000000000003</v>
      </c>
      <c r="J260">
        <v>259</v>
      </c>
      <c r="K260">
        <v>0.30509999999999998</v>
      </c>
      <c r="L260">
        <v>259</v>
      </c>
      <c r="M260">
        <v>104.11</v>
      </c>
      <c r="N260">
        <v>271</v>
      </c>
      <c r="O260">
        <v>106.18</v>
      </c>
      <c r="P260">
        <v>226</v>
      </c>
      <c r="Q260">
        <v>111.833</v>
      </c>
      <c r="R260">
        <v>226</v>
      </c>
      <c r="S260">
        <v>105.012</v>
      </c>
      <c r="T260">
        <v>95</v>
      </c>
      <c r="U260">
        <v>68.506299999999996</v>
      </c>
      <c r="V260">
        <v>174</v>
      </c>
      <c r="W260">
        <v>68.750299999999996</v>
      </c>
      <c r="X260">
        <v>106</v>
      </c>
      <c r="Y260">
        <v>4.1099999999999998E-2</v>
      </c>
      <c r="Z260">
        <v>81</v>
      </c>
      <c r="AA260">
        <v>-8.7015999999999991</v>
      </c>
      <c r="AB260">
        <v>332</v>
      </c>
      <c r="AC260">
        <v>104.02800000000001</v>
      </c>
      <c r="AD260">
        <v>325</v>
      </c>
      <c r="AE260">
        <v>112.73</v>
      </c>
      <c r="AF260">
        <v>303</v>
      </c>
      <c r="AG260">
        <v>-3.0777000000000001</v>
      </c>
      <c r="AH260">
        <v>266</v>
      </c>
      <c r="AJ260">
        <v>17.489999999999998</v>
      </c>
      <c r="AK260">
        <v>173</v>
      </c>
      <c r="AL260">
        <v>17.489999999999998</v>
      </c>
      <c r="AM260">
        <v>170</v>
      </c>
      <c r="AN260">
        <v>18.329999999999998</v>
      </c>
      <c r="AO260">
        <v>7</v>
      </c>
      <c r="AP260">
        <v>17.86</v>
      </c>
      <c r="AQ260">
        <v>2</v>
      </c>
    </row>
    <row r="261" spans="1:43" x14ac:dyDescent="0.2">
      <c r="A261" t="s">
        <v>1782</v>
      </c>
      <c r="B261">
        <v>2026</v>
      </c>
      <c r="C261" t="s">
        <v>481</v>
      </c>
      <c r="D261">
        <v>0</v>
      </c>
      <c r="E261" t="s">
        <v>1040</v>
      </c>
      <c r="F261" t="s">
        <v>2042</v>
      </c>
      <c r="G261">
        <v>17</v>
      </c>
      <c r="H261">
        <v>15</v>
      </c>
      <c r="I261">
        <v>-7.8436000000000003</v>
      </c>
      <c r="J261">
        <v>260</v>
      </c>
      <c r="K261">
        <v>0.30480000000000002</v>
      </c>
      <c r="L261">
        <v>260</v>
      </c>
      <c r="M261">
        <v>105.50700000000001</v>
      </c>
      <c r="N261">
        <v>247</v>
      </c>
      <c r="O261">
        <v>107.337</v>
      </c>
      <c r="P261">
        <v>203</v>
      </c>
      <c r="Q261">
        <v>113.35</v>
      </c>
      <c r="R261">
        <v>259</v>
      </c>
      <c r="S261">
        <v>114.208</v>
      </c>
      <c r="T261">
        <v>313</v>
      </c>
      <c r="U261">
        <v>69.031899999999993</v>
      </c>
      <c r="V261">
        <v>149</v>
      </c>
      <c r="W261">
        <v>67.684700000000007</v>
      </c>
      <c r="X261">
        <v>161</v>
      </c>
      <c r="Y261">
        <v>0.1182</v>
      </c>
      <c r="Z261">
        <v>6</v>
      </c>
      <c r="AA261">
        <v>-1.8289</v>
      </c>
      <c r="AB261">
        <v>199</v>
      </c>
      <c r="AC261">
        <v>110.565</v>
      </c>
      <c r="AD261">
        <v>109</v>
      </c>
      <c r="AE261">
        <v>112.39400000000001</v>
      </c>
      <c r="AF261">
        <v>288</v>
      </c>
      <c r="AG261">
        <v>7.6719999999999997</v>
      </c>
      <c r="AH261">
        <v>35</v>
      </c>
      <c r="AJ261">
        <v>17.149999999999999</v>
      </c>
      <c r="AK261">
        <v>127</v>
      </c>
      <c r="AL261">
        <v>17.68</v>
      </c>
      <c r="AM261">
        <v>224</v>
      </c>
      <c r="AN261">
        <v>17.239999999999998</v>
      </c>
      <c r="AO261">
        <v>6</v>
      </c>
      <c r="AP261">
        <v>17.690000000000001</v>
      </c>
      <c r="AQ261">
        <v>8</v>
      </c>
    </row>
    <row r="262" spans="1:43" x14ac:dyDescent="0.2">
      <c r="A262" t="s">
        <v>1782</v>
      </c>
      <c r="B262">
        <v>2026</v>
      </c>
      <c r="C262" t="s">
        <v>1172</v>
      </c>
      <c r="D262">
        <v>0</v>
      </c>
      <c r="E262" t="s">
        <v>1006</v>
      </c>
      <c r="F262" t="s">
        <v>2043</v>
      </c>
      <c r="G262">
        <v>16</v>
      </c>
      <c r="H262">
        <v>17</v>
      </c>
      <c r="I262">
        <v>-7.9820000000000002</v>
      </c>
      <c r="J262">
        <v>261</v>
      </c>
      <c r="K262">
        <v>0.30309999999999998</v>
      </c>
      <c r="L262">
        <v>261</v>
      </c>
      <c r="M262">
        <v>106.313</v>
      </c>
      <c r="N262">
        <v>226</v>
      </c>
      <c r="O262">
        <v>107.35</v>
      </c>
      <c r="P262">
        <v>201</v>
      </c>
      <c r="Q262">
        <v>114.295</v>
      </c>
      <c r="R262">
        <v>278</v>
      </c>
      <c r="S262">
        <v>112.76300000000001</v>
      </c>
      <c r="T262">
        <v>287</v>
      </c>
      <c r="U262">
        <v>68.627799999999993</v>
      </c>
      <c r="V262">
        <v>167</v>
      </c>
      <c r="W262">
        <v>67.015900000000002</v>
      </c>
      <c r="X262">
        <v>199</v>
      </c>
      <c r="Y262">
        <v>3.3399999999999999E-2</v>
      </c>
      <c r="Z262">
        <v>103</v>
      </c>
      <c r="AA262">
        <v>-2.8052000000000001</v>
      </c>
      <c r="AB262">
        <v>219</v>
      </c>
      <c r="AC262">
        <v>108.73699999999999</v>
      </c>
      <c r="AD262">
        <v>186</v>
      </c>
      <c r="AE262">
        <v>111.54300000000001</v>
      </c>
      <c r="AF262">
        <v>240</v>
      </c>
      <c r="AG262">
        <v>3.0926999999999998</v>
      </c>
      <c r="AH262">
        <v>103</v>
      </c>
      <c r="AJ262">
        <v>18.190000000000001</v>
      </c>
      <c r="AK262">
        <v>253</v>
      </c>
      <c r="AL262">
        <v>16.75</v>
      </c>
      <c r="AM262">
        <v>33</v>
      </c>
      <c r="AN262">
        <v>17.91</v>
      </c>
      <c r="AO262">
        <v>9</v>
      </c>
      <c r="AP262">
        <v>16.920000000000002</v>
      </c>
      <c r="AQ262">
        <v>2</v>
      </c>
    </row>
    <row r="263" spans="1:43" x14ac:dyDescent="0.2">
      <c r="A263" t="s">
        <v>1782</v>
      </c>
      <c r="B263">
        <v>2026</v>
      </c>
      <c r="C263" t="s">
        <v>59</v>
      </c>
      <c r="D263">
        <v>0</v>
      </c>
      <c r="E263" t="s">
        <v>1043</v>
      </c>
      <c r="F263" t="s">
        <v>2044</v>
      </c>
      <c r="G263">
        <v>17</v>
      </c>
      <c r="H263">
        <v>17</v>
      </c>
      <c r="I263">
        <v>-8.0213999999999999</v>
      </c>
      <c r="J263">
        <v>262</v>
      </c>
      <c r="K263">
        <v>0.31080000000000002</v>
      </c>
      <c r="L263">
        <v>255</v>
      </c>
      <c r="M263">
        <v>111.895</v>
      </c>
      <c r="N263">
        <v>123</v>
      </c>
      <c r="O263">
        <v>114.476</v>
      </c>
      <c r="P263">
        <v>69</v>
      </c>
      <c r="Q263">
        <v>119.916</v>
      </c>
      <c r="R263">
        <v>347</v>
      </c>
      <c r="S263">
        <v>114.155</v>
      </c>
      <c r="T263">
        <v>311</v>
      </c>
      <c r="U263">
        <v>63.445900000000002</v>
      </c>
      <c r="V263">
        <v>361</v>
      </c>
      <c r="W263">
        <v>63.134300000000003</v>
      </c>
      <c r="X263">
        <v>354</v>
      </c>
      <c r="Y263">
        <v>-2.23E-2</v>
      </c>
      <c r="Z263">
        <v>247</v>
      </c>
      <c r="AA263">
        <v>-8.5792999999999999</v>
      </c>
      <c r="AB263">
        <v>329</v>
      </c>
      <c r="AC263">
        <v>104.38200000000001</v>
      </c>
      <c r="AD263">
        <v>314</v>
      </c>
      <c r="AE263">
        <v>112.962</v>
      </c>
      <c r="AF263">
        <v>311</v>
      </c>
      <c r="AG263">
        <v>-4.9169</v>
      </c>
      <c r="AH263">
        <v>301</v>
      </c>
      <c r="AJ263">
        <v>19.489999999999998</v>
      </c>
      <c r="AK263">
        <v>353</v>
      </c>
      <c r="AL263">
        <v>18.190000000000001</v>
      </c>
      <c r="AM263">
        <v>313</v>
      </c>
      <c r="AN263">
        <v>19.260000000000002</v>
      </c>
      <c r="AO263">
        <v>10</v>
      </c>
      <c r="AP263">
        <v>18.100000000000001</v>
      </c>
      <c r="AQ263">
        <v>3</v>
      </c>
    </row>
    <row r="264" spans="1:43" x14ac:dyDescent="0.2">
      <c r="A264" t="s">
        <v>1782</v>
      </c>
      <c r="B264">
        <v>2026</v>
      </c>
      <c r="C264" t="s">
        <v>463</v>
      </c>
      <c r="D264">
        <v>0</v>
      </c>
      <c r="E264" t="s">
        <v>896</v>
      </c>
      <c r="F264" t="s">
        <v>2045</v>
      </c>
      <c r="G264">
        <v>9</v>
      </c>
      <c r="H264">
        <v>23</v>
      </c>
      <c r="I264">
        <v>-8.0841999999999992</v>
      </c>
      <c r="J264">
        <v>263</v>
      </c>
      <c r="K264">
        <v>0.29949999999999999</v>
      </c>
      <c r="L264">
        <v>264</v>
      </c>
      <c r="M264">
        <v>105.42100000000001</v>
      </c>
      <c r="N264">
        <v>248</v>
      </c>
      <c r="O264">
        <v>100.205</v>
      </c>
      <c r="P264">
        <v>324</v>
      </c>
      <c r="Q264">
        <v>113.505</v>
      </c>
      <c r="R264">
        <v>260</v>
      </c>
      <c r="S264">
        <v>113.75</v>
      </c>
      <c r="T264">
        <v>306</v>
      </c>
      <c r="U264">
        <v>69.430899999999994</v>
      </c>
      <c r="V264">
        <v>124</v>
      </c>
      <c r="W264">
        <v>68.6173</v>
      </c>
      <c r="X264">
        <v>112</v>
      </c>
      <c r="Y264">
        <v>-1.83E-2</v>
      </c>
      <c r="Z264">
        <v>233</v>
      </c>
      <c r="AA264">
        <v>2.976</v>
      </c>
      <c r="AB264">
        <v>104</v>
      </c>
      <c r="AC264">
        <v>110.352</v>
      </c>
      <c r="AD264">
        <v>113</v>
      </c>
      <c r="AE264">
        <v>107.376</v>
      </c>
      <c r="AF264">
        <v>100</v>
      </c>
      <c r="AG264">
        <v>-2.1697000000000002</v>
      </c>
      <c r="AH264">
        <v>247</v>
      </c>
      <c r="AJ264">
        <v>17.45</v>
      </c>
      <c r="AK264">
        <v>168</v>
      </c>
      <c r="AL264">
        <v>17.16</v>
      </c>
      <c r="AM264">
        <v>95</v>
      </c>
      <c r="AN264">
        <v>17.12</v>
      </c>
      <c r="AO264">
        <v>4</v>
      </c>
      <c r="AP264">
        <v>17.010000000000002</v>
      </c>
      <c r="AQ264">
        <v>1</v>
      </c>
    </row>
    <row r="265" spans="1:43" x14ac:dyDescent="0.2">
      <c r="A265" t="s">
        <v>1782</v>
      </c>
      <c r="B265">
        <v>2026</v>
      </c>
      <c r="C265" t="s">
        <v>175</v>
      </c>
      <c r="D265">
        <v>0</v>
      </c>
      <c r="E265" t="s">
        <v>1084</v>
      </c>
      <c r="F265" t="s">
        <v>2046</v>
      </c>
      <c r="G265">
        <v>21</v>
      </c>
      <c r="H265">
        <v>13</v>
      </c>
      <c r="I265">
        <v>-8.1037999999999997</v>
      </c>
      <c r="J265">
        <v>264</v>
      </c>
      <c r="K265">
        <v>0.3</v>
      </c>
      <c r="L265">
        <v>263</v>
      </c>
      <c r="M265">
        <v>105.974</v>
      </c>
      <c r="N265">
        <v>234</v>
      </c>
      <c r="O265">
        <v>108.363</v>
      </c>
      <c r="P265">
        <v>178</v>
      </c>
      <c r="Q265">
        <v>114.078</v>
      </c>
      <c r="R265">
        <v>272</v>
      </c>
      <c r="S265">
        <v>106.965</v>
      </c>
      <c r="T265">
        <v>137</v>
      </c>
      <c r="U265">
        <v>67.084800000000001</v>
      </c>
      <c r="V265">
        <v>243</v>
      </c>
      <c r="W265">
        <v>66.960300000000004</v>
      </c>
      <c r="X265">
        <v>203</v>
      </c>
      <c r="Y265">
        <v>7.7799999999999994E-2</v>
      </c>
      <c r="Z265">
        <v>26</v>
      </c>
      <c r="AA265">
        <v>-9.6668000000000003</v>
      </c>
      <c r="AB265">
        <v>349</v>
      </c>
      <c r="AC265">
        <v>102.905</v>
      </c>
      <c r="AD265">
        <v>352</v>
      </c>
      <c r="AE265">
        <v>112.572</v>
      </c>
      <c r="AF265">
        <v>297</v>
      </c>
      <c r="AG265">
        <v>-8.7154000000000007</v>
      </c>
      <c r="AH265">
        <v>352</v>
      </c>
      <c r="AJ265">
        <v>17.5</v>
      </c>
      <c r="AK265">
        <v>174</v>
      </c>
      <c r="AL265">
        <v>18.25</v>
      </c>
      <c r="AM265">
        <v>328</v>
      </c>
      <c r="AN265">
        <v>17.62</v>
      </c>
      <c r="AO265">
        <v>4</v>
      </c>
      <c r="AP265">
        <v>18.3</v>
      </c>
      <c r="AQ265">
        <v>8</v>
      </c>
    </row>
    <row r="266" spans="1:43" x14ac:dyDescent="0.2">
      <c r="A266" t="s">
        <v>1782</v>
      </c>
      <c r="B266">
        <v>2026</v>
      </c>
      <c r="C266" t="s">
        <v>505</v>
      </c>
      <c r="D266">
        <v>0</v>
      </c>
      <c r="E266" t="s">
        <v>1031</v>
      </c>
      <c r="F266" t="s">
        <v>2047</v>
      </c>
      <c r="G266">
        <v>10</v>
      </c>
      <c r="H266">
        <v>21</v>
      </c>
      <c r="I266">
        <v>-8.2726000000000006</v>
      </c>
      <c r="J266">
        <v>265</v>
      </c>
      <c r="K266">
        <v>0.29659999999999997</v>
      </c>
      <c r="L266">
        <v>266</v>
      </c>
      <c r="M266">
        <v>106.06100000000001</v>
      </c>
      <c r="N266">
        <v>230</v>
      </c>
      <c r="O266">
        <v>104.28700000000001</v>
      </c>
      <c r="P266">
        <v>266</v>
      </c>
      <c r="Q266">
        <v>114.334</v>
      </c>
      <c r="R266">
        <v>279</v>
      </c>
      <c r="S266">
        <v>114.834</v>
      </c>
      <c r="T266">
        <v>324</v>
      </c>
      <c r="U266">
        <v>72.290800000000004</v>
      </c>
      <c r="V266">
        <v>22</v>
      </c>
      <c r="W266">
        <v>71.632499999999993</v>
      </c>
      <c r="X266">
        <v>11</v>
      </c>
      <c r="Y266">
        <v>-2.2200000000000001E-2</v>
      </c>
      <c r="Z266">
        <v>246</v>
      </c>
      <c r="AA266">
        <v>1.4359999999999999</v>
      </c>
      <c r="AB266">
        <v>118</v>
      </c>
      <c r="AC266">
        <v>110.66200000000001</v>
      </c>
      <c r="AD266">
        <v>106</v>
      </c>
      <c r="AE266">
        <v>109.226</v>
      </c>
      <c r="AF266">
        <v>158</v>
      </c>
      <c r="AG266">
        <v>8.8465000000000007</v>
      </c>
      <c r="AH266">
        <v>23</v>
      </c>
      <c r="AJ266">
        <v>15.96</v>
      </c>
      <c r="AK266">
        <v>28</v>
      </c>
      <c r="AL266">
        <v>17.22</v>
      </c>
      <c r="AM266">
        <v>108</v>
      </c>
      <c r="AN266">
        <v>16.02</v>
      </c>
      <c r="AO266">
        <v>1</v>
      </c>
      <c r="AP266">
        <v>17.11</v>
      </c>
      <c r="AQ266">
        <v>1</v>
      </c>
    </row>
    <row r="267" spans="1:43" x14ac:dyDescent="0.2">
      <c r="A267" t="s">
        <v>1782</v>
      </c>
      <c r="B267">
        <v>2026</v>
      </c>
      <c r="C267" t="s">
        <v>295</v>
      </c>
      <c r="D267">
        <v>0</v>
      </c>
      <c r="E267" t="s">
        <v>1093</v>
      </c>
      <c r="F267" t="s">
        <v>2048</v>
      </c>
      <c r="G267">
        <v>18</v>
      </c>
      <c r="H267">
        <v>15</v>
      </c>
      <c r="I267">
        <v>-8.4664999999999999</v>
      </c>
      <c r="J267">
        <v>266</v>
      </c>
      <c r="K267">
        <v>0.28320000000000001</v>
      </c>
      <c r="L267">
        <v>269</v>
      </c>
      <c r="M267">
        <v>100.663</v>
      </c>
      <c r="N267">
        <v>319</v>
      </c>
      <c r="O267">
        <v>101.824</v>
      </c>
      <c r="P267">
        <v>307</v>
      </c>
      <c r="Q267">
        <v>109.129</v>
      </c>
      <c r="R267">
        <v>168</v>
      </c>
      <c r="S267">
        <v>102.764</v>
      </c>
      <c r="T267">
        <v>58</v>
      </c>
      <c r="U267">
        <v>73.022499999999994</v>
      </c>
      <c r="V267">
        <v>13</v>
      </c>
      <c r="W267">
        <v>72.380099999999999</v>
      </c>
      <c r="X267">
        <v>8</v>
      </c>
      <c r="Y267">
        <v>1.7100000000000001E-2</v>
      </c>
      <c r="Z267">
        <v>134</v>
      </c>
      <c r="AA267">
        <v>-8.8414000000000001</v>
      </c>
      <c r="AB267">
        <v>334</v>
      </c>
      <c r="AC267">
        <v>103.22</v>
      </c>
      <c r="AD267">
        <v>347</v>
      </c>
      <c r="AE267">
        <v>112.06100000000001</v>
      </c>
      <c r="AF267">
        <v>271</v>
      </c>
      <c r="AG267">
        <v>2.1722999999999999</v>
      </c>
      <c r="AH267">
        <v>119</v>
      </c>
      <c r="AJ267">
        <v>15.43</v>
      </c>
      <c r="AK267">
        <v>11</v>
      </c>
      <c r="AL267">
        <v>17.38</v>
      </c>
      <c r="AM267">
        <v>145</v>
      </c>
      <c r="AN267">
        <v>15.19</v>
      </c>
      <c r="AO267">
        <v>1</v>
      </c>
      <c r="AP267">
        <v>17.75</v>
      </c>
      <c r="AQ267">
        <v>5</v>
      </c>
    </row>
    <row r="268" spans="1:43" x14ac:dyDescent="0.2">
      <c r="A268" t="s">
        <v>1782</v>
      </c>
      <c r="B268">
        <v>2026</v>
      </c>
      <c r="C268" t="s">
        <v>249</v>
      </c>
      <c r="D268">
        <v>0</v>
      </c>
      <c r="E268" t="s">
        <v>956</v>
      </c>
      <c r="F268" t="s">
        <v>2049</v>
      </c>
      <c r="G268">
        <v>12</v>
      </c>
      <c r="H268">
        <v>19</v>
      </c>
      <c r="I268">
        <v>-8.4753000000000007</v>
      </c>
      <c r="J268">
        <v>267</v>
      </c>
      <c r="K268">
        <v>0.29699999999999999</v>
      </c>
      <c r="L268">
        <v>265</v>
      </c>
      <c r="M268">
        <v>108.95699999999999</v>
      </c>
      <c r="N268">
        <v>176</v>
      </c>
      <c r="O268">
        <v>107.54600000000001</v>
      </c>
      <c r="P268">
        <v>196</v>
      </c>
      <c r="Q268">
        <v>117.432</v>
      </c>
      <c r="R268">
        <v>325</v>
      </c>
      <c r="S268">
        <v>114.786</v>
      </c>
      <c r="T268">
        <v>323</v>
      </c>
      <c r="U268">
        <v>65.389300000000006</v>
      </c>
      <c r="V268">
        <v>321</v>
      </c>
      <c r="W268">
        <v>65.499300000000005</v>
      </c>
      <c r="X268">
        <v>283</v>
      </c>
      <c r="Y268">
        <v>-2.81E-2</v>
      </c>
      <c r="Z268">
        <v>261</v>
      </c>
      <c r="AA268">
        <v>-1.5210999999999999</v>
      </c>
      <c r="AB268">
        <v>188</v>
      </c>
      <c r="AC268">
        <v>107.545</v>
      </c>
      <c r="AD268">
        <v>253</v>
      </c>
      <c r="AE268">
        <v>109.066</v>
      </c>
      <c r="AF268">
        <v>152</v>
      </c>
      <c r="AG268">
        <v>6.6535000000000002</v>
      </c>
      <c r="AH268">
        <v>42</v>
      </c>
      <c r="AJ268">
        <v>19.149999999999999</v>
      </c>
      <c r="AK268">
        <v>340</v>
      </c>
      <c r="AL268">
        <v>17.53</v>
      </c>
      <c r="AM268">
        <v>180</v>
      </c>
      <c r="AN268">
        <v>19.22</v>
      </c>
      <c r="AO268">
        <v>12</v>
      </c>
      <c r="AP268">
        <v>17.63</v>
      </c>
      <c r="AQ268">
        <v>4</v>
      </c>
    </row>
    <row r="269" spans="1:43" x14ac:dyDescent="0.2">
      <c r="A269" t="s">
        <v>1782</v>
      </c>
      <c r="B269">
        <v>2026</v>
      </c>
      <c r="C269" t="s">
        <v>355</v>
      </c>
      <c r="D269">
        <v>0</v>
      </c>
      <c r="E269" t="s">
        <v>1040</v>
      </c>
      <c r="F269" t="s">
        <v>2050</v>
      </c>
      <c r="G269">
        <v>12</v>
      </c>
      <c r="H269">
        <v>20</v>
      </c>
      <c r="I269">
        <v>-8.8838000000000008</v>
      </c>
      <c r="J269">
        <v>268</v>
      </c>
      <c r="K269">
        <v>0.2848</v>
      </c>
      <c r="L269">
        <v>268</v>
      </c>
      <c r="M269">
        <v>106.583</v>
      </c>
      <c r="N269">
        <v>223</v>
      </c>
      <c r="O269">
        <v>108.217</v>
      </c>
      <c r="P269">
        <v>179</v>
      </c>
      <c r="Q269">
        <v>115.46599999999999</v>
      </c>
      <c r="R269">
        <v>299</v>
      </c>
      <c r="S269">
        <v>115.73399999999999</v>
      </c>
      <c r="T269">
        <v>332</v>
      </c>
      <c r="U269">
        <v>69.074200000000005</v>
      </c>
      <c r="V269">
        <v>144</v>
      </c>
      <c r="W269">
        <v>67.368300000000005</v>
      </c>
      <c r="X269">
        <v>180</v>
      </c>
      <c r="Y269">
        <v>1.2800000000000001E-2</v>
      </c>
      <c r="Z269">
        <v>148</v>
      </c>
      <c r="AA269">
        <v>-1.7008000000000001</v>
      </c>
      <c r="AB269">
        <v>195</v>
      </c>
      <c r="AC269">
        <v>110.565</v>
      </c>
      <c r="AD269">
        <v>110</v>
      </c>
      <c r="AE269">
        <v>112.265</v>
      </c>
      <c r="AF269">
        <v>283</v>
      </c>
      <c r="AG269">
        <v>6.2450000000000001</v>
      </c>
      <c r="AH269">
        <v>51</v>
      </c>
      <c r="AJ269">
        <v>16.59</v>
      </c>
      <c r="AK269">
        <v>66</v>
      </c>
      <c r="AL269">
        <v>18.190000000000001</v>
      </c>
      <c r="AM269">
        <v>314</v>
      </c>
      <c r="AN269">
        <v>16.78</v>
      </c>
      <c r="AO269">
        <v>3</v>
      </c>
      <c r="AP269">
        <v>18.59</v>
      </c>
      <c r="AQ269">
        <v>11</v>
      </c>
    </row>
    <row r="270" spans="1:43" x14ac:dyDescent="0.2">
      <c r="A270" t="s">
        <v>1782</v>
      </c>
      <c r="B270">
        <v>2026</v>
      </c>
      <c r="C270" t="s">
        <v>95</v>
      </c>
      <c r="D270">
        <v>0</v>
      </c>
      <c r="E270" t="s">
        <v>953</v>
      </c>
      <c r="F270" t="s">
        <v>2051</v>
      </c>
      <c r="G270">
        <v>10</v>
      </c>
      <c r="H270">
        <v>21</v>
      </c>
      <c r="I270">
        <v>-9.0609999999999999</v>
      </c>
      <c r="J270">
        <v>269</v>
      </c>
      <c r="K270">
        <v>0.28029999999999999</v>
      </c>
      <c r="L270">
        <v>270</v>
      </c>
      <c r="M270">
        <v>106.02</v>
      </c>
      <c r="N270">
        <v>231</v>
      </c>
      <c r="O270">
        <v>104.938</v>
      </c>
      <c r="P270">
        <v>252</v>
      </c>
      <c r="Q270">
        <v>115.081</v>
      </c>
      <c r="R270">
        <v>293</v>
      </c>
      <c r="S270">
        <v>113.889</v>
      </c>
      <c r="T270">
        <v>307</v>
      </c>
      <c r="U270">
        <v>68.322400000000002</v>
      </c>
      <c r="V270">
        <v>187</v>
      </c>
      <c r="W270">
        <v>67.117800000000003</v>
      </c>
      <c r="X270">
        <v>193</v>
      </c>
      <c r="Y270">
        <v>-9.8299999999999998E-2</v>
      </c>
      <c r="Z270">
        <v>358</v>
      </c>
      <c r="AA270">
        <v>-1.6333</v>
      </c>
      <c r="AB270">
        <v>193</v>
      </c>
      <c r="AC270">
        <v>108.515</v>
      </c>
      <c r="AD270">
        <v>199</v>
      </c>
      <c r="AE270">
        <v>110.148</v>
      </c>
      <c r="AF270">
        <v>191</v>
      </c>
      <c r="AG270">
        <v>1.3863000000000001</v>
      </c>
      <c r="AH270">
        <v>138</v>
      </c>
      <c r="AJ270">
        <v>18.2</v>
      </c>
      <c r="AK270">
        <v>254</v>
      </c>
      <c r="AL270">
        <v>17.07</v>
      </c>
      <c r="AM270">
        <v>79</v>
      </c>
      <c r="AN270">
        <v>17.87</v>
      </c>
      <c r="AO270">
        <v>9</v>
      </c>
      <c r="AP270">
        <v>17.18</v>
      </c>
      <c r="AQ270">
        <v>5</v>
      </c>
    </row>
    <row r="271" spans="1:43" x14ac:dyDescent="0.2">
      <c r="A271" t="s">
        <v>1782</v>
      </c>
      <c r="B271">
        <v>2026</v>
      </c>
      <c r="C271" t="s">
        <v>473</v>
      </c>
      <c r="D271">
        <v>0</v>
      </c>
      <c r="E271" t="s">
        <v>987</v>
      </c>
      <c r="F271" t="s">
        <v>2052</v>
      </c>
      <c r="G271">
        <v>15</v>
      </c>
      <c r="H271">
        <v>18</v>
      </c>
      <c r="I271">
        <v>-9.0625999999999998</v>
      </c>
      <c r="J271">
        <v>270</v>
      </c>
      <c r="K271">
        <v>0.27550000000000002</v>
      </c>
      <c r="L271">
        <v>272</v>
      </c>
      <c r="M271">
        <v>103.337</v>
      </c>
      <c r="N271">
        <v>283</v>
      </c>
      <c r="O271">
        <v>104.46899999999999</v>
      </c>
      <c r="P271">
        <v>264</v>
      </c>
      <c r="Q271">
        <v>112.4</v>
      </c>
      <c r="R271">
        <v>242</v>
      </c>
      <c r="S271">
        <v>108.99</v>
      </c>
      <c r="T271">
        <v>196</v>
      </c>
      <c r="U271">
        <v>66.064700000000002</v>
      </c>
      <c r="V271">
        <v>294</v>
      </c>
      <c r="W271">
        <v>64.180400000000006</v>
      </c>
      <c r="X271">
        <v>337</v>
      </c>
      <c r="Y271">
        <v>-2.0299999999999999E-2</v>
      </c>
      <c r="Z271">
        <v>241</v>
      </c>
      <c r="AA271">
        <v>-4.9448999999999996</v>
      </c>
      <c r="AB271">
        <v>262</v>
      </c>
      <c r="AC271">
        <v>107.154</v>
      </c>
      <c r="AD271">
        <v>268</v>
      </c>
      <c r="AE271">
        <v>112.098</v>
      </c>
      <c r="AF271">
        <v>272</v>
      </c>
      <c r="AG271">
        <v>-2.0522</v>
      </c>
      <c r="AH271">
        <v>241</v>
      </c>
      <c r="AJ271">
        <v>18.3</v>
      </c>
      <c r="AK271">
        <v>267</v>
      </c>
      <c r="AL271">
        <v>17.95</v>
      </c>
      <c r="AM271">
        <v>285</v>
      </c>
      <c r="AN271">
        <v>18.12</v>
      </c>
      <c r="AO271">
        <v>8</v>
      </c>
      <c r="AP271">
        <v>17.670000000000002</v>
      </c>
      <c r="AQ271">
        <v>8</v>
      </c>
    </row>
    <row r="272" spans="1:43" x14ac:dyDescent="0.2">
      <c r="A272" t="s">
        <v>1782</v>
      </c>
      <c r="B272">
        <v>2026</v>
      </c>
      <c r="C272" t="s">
        <v>303</v>
      </c>
      <c r="D272">
        <v>0</v>
      </c>
      <c r="E272" t="s">
        <v>987</v>
      </c>
      <c r="F272" t="s">
        <v>2053</v>
      </c>
      <c r="G272">
        <v>16</v>
      </c>
      <c r="H272">
        <v>16</v>
      </c>
      <c r="I272">
        <v>-9.1213999999999995</v>
      </c>
      <c r="J272">
        <v>271</v>
      </c>
      <c r="K272">
        <v>0.27479999999999999</v>
      </c>
      <c r="L272">
        <v>273</v>
      </c>
      <c r="M272">
        <v>103.60899999999999</v>
      </c>
      <c r="N272">
        <v>280</v>
      </c>
      <c r="O272">
        <v>106.119</v>
      </c>
      <c r="P272">
        <v>227</v>
      </c>
      <c r="Q272">
        <v>112.73099999999999</v>
      </c>
      <c r="R272">
        <v>249</v>
      </c>
      <c r="S272">
        <v>106.867</v>
      </c>
      <c r="T272">
        <v>135</v>
      </c>
      <c r="U272">
        <v>69.412400000000005</v>
      </c>
      <c r="V272">
        <v>126</v>
      </c>
      <c r="W272">
        <v>68.430599999999998</v>
      </c>
      <c r="X272">
        <v>123</v>
      </c>
      <c r="Y272">
        <v>-3.5499999999999997E-2</v>
      </c>
      <c r="Z272">
        <v>288</v>
      </c>
      <c r="AA272">
        <v>-8.4321999999999999</v>
      </c>
      <c r="AB272">
        <v>327</v>
      </c>
      <c r="AC272">
        <v>104.6</v>
      </c>
      <c r="AD272">
        <v>310</v>
      </c>
      <c r="AE272">
        <v>113.032</v>
      </c>
      <c r="AF272">
        <v>315</v>
      </c>
      <c r="AG272">
        <v>-10.704800000000001</v>
      </c>
      <c r="AH272">
        <v>363</v>
      </c>
      <c r="AJ272">
        <v>16.73</v>
      </c>
      <c r="AK272">
        <v>78</v>
      </c>
      <c r="AL272">
        <v>17.75</v>
      </c>
      <c r="AM272">
        <v>236</v>
      </c>
      <c r="AN272">
        <v>17.21</v>
      </c>
      <c r="AO272">
        <v>7</v>
      </c>
      <c r="AP272">
        <v>17.649999999999999</v>
      </c>
      <c r="AQ272">
        <v>7</v>
      </c>
    </row>
    <row r="273" spans="1:43" x14ac:dyDescent="0.2">
      <c r="A273" t="s">
        <v>1782</v>
      </c>
      <c r="B273">
        <v>2026</v>
      </c>
      <c r="C273" t="s">
        <v>219</v>
      </c>
      <c r="D273">
        <v>0</v>
      </c>
      <c r="E273" t="s">
        <v>980</v>
      </c>
      <c r="F273" t="s">
        <v>2054</v>
      </c>
      <c r="G273">
        <v>13</v>
      </c>
      <c r="H273">
        <v>19</v>
      </c>
      <c r="I273">
        <v>-9.2306000000000008</v>
      </c>
      <c r="J273">
        <v>272</v>
      </c>
      <c r="K273">
        <v>0.27079999999999999</v>
      </c>
      <c r="L273">
        <v>277</v>
      </c>
      <c r="M273">
        <v>102.598</v>
      </c>
      <c r="N273">
        <v>294</v>
      </c>
      <c r="O273">
        <v>101.867</v>
      </c>
      <c r="P273">
        <v>306</v>
      </c>
      <c r="Q273">
        <v>111.82899999999999</v>
      </c>
      <c r="R273">
        <v>225</v>
      </c>
      <c r="S273">
        <v>108.28100000000001</v>
      </c>
      <c r="T273">
        <v>172</v>
      </c>
      <c r="U273">
        <v>65.995199999999997</v>
      </c>
      <c r="V273">
        <v>298</v>
      </c>
      <c r="W273">
        <v>65.353200000000001</v>
      </c>
      <c r="X273">
        <v>290</v>
      </c>
      <c r="Y273">
        <v>-1.32E-2</v>
      </c>
      <c r="Z273">
        <v>223</v>
      </c>
      <c r="AA273">
        <v>-3.8431999999999999</v>
      </c>
      <c r="AB273">
        <v>240</v>
      </c>
      <c r="AC273">
        <v>106.378</v>
      </c>
      <c r="AD273">
        <v>284</v>
      </c>
      <c r="AE273">
        <v>110.221</v>
      </c>
      <c r="AF273">
        <v>193</v>
      </c>
      <c r="AG273">
        <v>-7.5458999999999996</v>
      </c>
      <c r="AH273">
        <v>342</v>
      </c>
      <c r="AJ273">
        <v>18.489999999999998</v>
      </c>
      <c r="AK273">
        <v>293</v>
      </c>
      <c r="AL273">
        <v>17.57</v>
      </c>
      <c r="AM273">
        <v>188</v>
      </c>
      <c r="AN273">
        <v>18.91</v>
      </c>
      <c r="AO273">
        <v>11</v>
      </c>
      <c r="AP273">
        <v>17.46</v>
      </c>
      <c r="AQ273">
        <v>5</v>
      </c>
    </row>
    <row r="274" spans="1:43" x14ac:dyDescent="0.2">
      <c r="A274" t="s">
        <v>1782</v>
      </c>
      <c r="B274">
        <v>2026</v>
      </c>
      <c r="C274" t="s">
        <v>707</v>
      </c>
      <c r="D274">
        <v>0</v>
      </c>
      <c r="E274" t="s">
        <v>953</v>
      </c>
      <c r="F274" t="s">
        <v>2055</v>
      </c>
      <c r="G274">
        <v>10</v>
      </c>
      <c r="H274">
        <v>21</v>
      </c>
      <c r="I274">
        <v>-9.2638999999999996</v>
      </c>
      <c r="J274">
        <v>273</v>
      </c>
      <c r="K274">
        <v>0.27929999999999999</v>
      </c>
      <c r="L274">
        <v>271</v>
      </c>
      <c r="M274">
        <v>107.82599999999999</v>
      </c>
      <c r="N274">
        <v>196</v>
      </c>
      <c r="O274">
        <v>106.59399999999999</v>
      </c>
      <c r="P274">
        <v>217</v>
      </c>
      <c r="Q274">
        <v>117.09</v>
      </c>
      <c r="R274">
        <v>317</v>
      </c>
      <c r="S274">
        <v>115.849</v>
      </c>
      <c r="T274">
        <v>333</v>
      </c>
      <c r="U274">
        <v>69.047700000000006</v>
      </c>
      <c r="V274">
        <v>147</v>
      </c>
      <c r="W274">
        <v>67.679199999999994</v>
      </c>
      <c r="X274">
        <v>162</v>
      </c>
      <c r="Y274">
        <v>-3.5799999999999998E-2</v>
      </c>
      <c r="Z274">
        <v>291</v>
      </c>
      <c r="AA274">
        <v>-1.3557999999999999</v>
      </c>
      <c r="AB274">
        <v>184</v>
      </c>
      <c r="AC274">
        <v>108.61</v>
      </c>
      <c r="AD274">
        <v>195</v>
      </c>
      <c r="AE274">
        <v>109.96599999999999</v>
      </c>
      <c r="AF274">
        <v>180</v>
      </c>
      <c r="AG274">
        <v>-2.1332</v>
      </c>
      <c r="AH274">
        <v>244</v>
      </c>
      <c r="AJ274">
        <v>18.14</v>
      </c>
      <c r="AK274">
        <v>249</v>
      </c>
      <c r="AL274">
        <v>16.600000000000001</v>
      </c>
      <c r="AM274">
        <v>16</v>
      </c>
      <c r="AN274">
        <v>18.32</v>
      </c>
      <c r="AO274">
        <v>12</v>
      </c>
      <c r="AP274">
        <v>16.71</v>
      </c>
      <c r="AQ274">
        <v>1</v>
      </c>
    </row>
    <row r="275" spans="1:43" x14ac:dyDescent="0.2">
      <c r="A275" t="s">
        <v>1782</v>
      </c>
      <c r="B275">
        <v>2026</v>
      </c>
      <c r="C275" t="s">
        <v>131</v>
      </c>
      <c r="D275">
        <v>0</v>
      </c>
      <c r="E275" t="s">
        <v>973</v>
      </c>
      <c r="F275" t="s">
        <v>2056</v>
      </c>
      <c r="G275">
        <v>11</v>
      </c>
      <c r="H275">
        <v>16</v>
      </c>
      <c r="I275">
        <v>-9.3646999999999991</v>
      </c>
      <c r="J275">
        <v>274</v>
      </c>
      <c r="K275">
        <v>0.2722</v>
      </c>
      <c r="L275">
        <v>275</v>
      </c>
      <c r="M275">
        <v>104.907</v>
      </c>
      <c r="N275">
        <v>257</v>
      </c>
      <c r="O275">
        <v>105.227</v>
      </c>
      <c r="P275">
        <v>245</v>
      </c>
      <c r="Q275">
        <v>114.271</v>
      </c>
      <c r="R275">
        <v>275</v>
      </c>
      <c r="S275">
        <v>112.623</v>
      </c>
      <c r="T275">
        <v>283</v>
      </c>
      <c r="U275">
        <v>69.158600000000007</v>
      </c>
      <c r="V275">
        <v>139</v>
      </c>
      <c r="W275">
        <v>69.490499999999997</v>
      </c>
      <c r="X275">
        <v>70</v>
      </c>
      <c r="Y275">
        <v>1E-4</v>
      </c>
      <c r="Z275">
        <v>190</v>
      </c>
      <c r="AA275">
        <v>-2.3193000000000001</v>
      </c>
      <c r="AB275">
        <v>211</v>
      </c>
      <c r="AC275">
        <v>108.58199999999999</v>
      </c>
      <c r="AD275">
        <v>197</v>
      </c>
      <c r="AE275">
        <v>110.902</v>
      </c>
      <c r="AF275">
        <v>217</v>
      </c>
      <c r="AG275">
        <v>-4.5686</v>
      </c>
      <c r="AH275">
        <v>295</v>
      </c>
      <c r="AJ275">
        <v>16.95</v>
      </c>
      <c r="AK275">
        <v>99</v>
      </c>
      <c r="AL275">
        <v>17.87</v>
      </c>
      <c r="AM275">
        <v>262</v>
      </c>
      <c r="AN275">
        <v>17.32</v>
      </c>
      <c r="AO275">
        <v>3</v>
      </c>
      <c r="AP275">
        <v>17.97</v>
      </c>
      <c r="AQ275">
        <v>3</v>
      </c>
    </row>
    <row r="276" spans="1:43" x14ac:dyDescent="0.2">
      <c r="A276" t="s">
        <v>1782</v>
      </c>
      <c r="B276">
        <v>2026</v>
      </c>
      <c r="C276" t="s">
        <v>559</v>
      </c>
      <c r="D276">
        <v>0</v>
      </c>
      <c r="E276" t="s">
        <v>1154</v>
      </c>
      <c r="F276" t="s">
        <v>2057</v>
      </c>
      <c r="G276">
        <v>16</v>
      </c>
      <c r="H276">
        <v>16</v>
      </c>
      <c r="I276">
        <v>-9.4240999999999993</v>
      </c>
      <c r="J276">
        <v>275</v>
      </c>
      <c r="K276">
        <v>0.2717</v>
      </c>
      <c r="L276">
        <v>276</v>
      </c>
      <c r="M276">
        <v>105.25</v>
      </c>
      <c r="N276">
        <v>255</v>
      </c>
      <c r="O276">
        <v>105.661</v>
      </c>
      <c r="P276">
        <v>240</v>
      </c>
      <c r="Q276">
        <v>114.67400000000001</v>
      </c>
      <c r="R276">
        <v>286</v>
      </c>
      <c r="S276">
        <v>111.498</v>
      </c>
      <c r="T276">
        <v>256</v>
      </c>
      <c r="U276">
        <v>71.608999999999995</v>
      </c>
      <c r="V276">
        <v>34</v>
      </c>
      <c r="W276">
        <v>70.2</v>
      </c>
      <c r="X276">
        <v>39</v>
      </c>
      <c r="Y276">
        <v>5.7099999999999998E-2</v>
      </c>
      <c r="Z276">
        <v>50</v>
      </c>
      <c r="AA276">
        <v>-5.9882</v>
      </c>
      <c r="AB276">
        <v>285</v>
      </c>
      <c r="AC276">
        <v>105.673</v>
      </c>
      <c r="AD276">
        <v>297</v>
      </c>
      <c r="AE276">
        <v>111.661</v>
      </c>
      <c r="AF276">
        <v>250</v>
      </c>
      <c r="AG276">
        <v>15.0905</v>
      </c>
      <c r="AH276">
        <v>3</v>
      </c>
      <c r="AJ276">
        <v>16.32</v>
      </c>
      <c r="AK276">
        <v>47</v>
      </c>
      <c r="AL276">
        <v>17.12</v>
      </c>
      <c r="AM276">
        <v>85</v>
      </c>
      <c r="AN276">
        <v>16.29</v>
      </c>
      <c r="AO276">
        <v>2</v>
      </c>
      <c r="AP276">
        <v>17.29</v>
      </c>
      <c r="AQ276">
        <v>9</v>
      </c>
    </row>
    <row r="277" spans="1:43" x14ac:dyDescent="0.2">
      <c r="A277" t="s">
        <v>1782</v>
      </c>
      <c r="B277">
        <v>2026</v>
      </c>
      <c r="C277" t="s">
        <v>411</v>
      </c>
      <c r="D277">
        <v>0</v>
      </c>
      <c r="E277" t="s">
        <v>1006</v>
      </c>
      <c r="F277" t="s">
        <v>2058</v>
      </c>
      <c r="G277">
        <v>18</v>
      </c>
      <c r="H277">
        <v>17</v>
      </c>
      <c r="I277">
        <v>-9.4848999999999997</v>
      </c>
      <c r="J277">
        <v>276</v>
      </c>
      <c r="K277">
        <v>0.27350000000000002</v>
      </c>
      <c r="L277">
        <v>274</v>
      </c>
      <c r="M277">
        <v>106.98399999999999</v>
      </c>
      <c r="N277">
        <v>217</v>
      </c>
      <c r="O277">
        <v>106.655</v>
      </c>
      <c r="P277">
        <v>215</v>
      </c>
      <c r="Q277">
        <v>116.46899999999999</v>
      </c>
      <c r="R277">
        <v>311</v>
      </c>
      <c r="S277">
        <v>114.29900000000001</v>
      </c>
      <c r="T277">
        <v>314</v>
      </c>
      <c r="U277">
        <v>69.236199999999997</v>
      </c>
      <c r="V277">
        <v>134</v>
      </c>
      <c r="W277">
        <v>67.2102</v>
      </c>
      <c r="X277">
        <v>188</v>
      </c>
      <c r="Y277">
        <v>0.1114</v>
      </c>
      <c r="Z277">
        <v>10</v>
      </c>
      <c r="AA277">
        <v>-3.6326000000000001</v>
      </c>
      <c r="AB277">
        <v>232</v>
      </c>
      <c r="AC277">
        <v>108.062</v>
      </c>
      <c r="AD277">
        <v>231</v>
      </c>
      <c r="AE277">
        <v>111.694</v>
      </c>
      <c r="AF277">
        <v>253</v>
      </c>
      <c r="AG277">
        <v>-0.47260000000000002</v>
      </c>
      <c r="AH277">
        <v>196</v>
      </c>
      <c r="AJ277">
        <v>17.62</v>
      </c>
      <c r="AK277">
        <v>186</v>
      </c>
      <c r="AL277">
        <v>17.18</v>
      </c>
      <c r="AM277">
        <v>100</v>
      </c>
      <c r="AN277">
        <v>17.489999999999998</v>
      </c>
      <c r="AO277">
        <v>4</v>
      </c>
      <c r="AP277">
        <v>17.579999999999998</v>
      </c>
      <c r="AQ277">
        <v>6</v>
      </c>
    </row>
    <row r="278" spans="1:43" x14ac:dyDescent="0.2">
      <c r="A278" t="s">
        <v>1782</v>
      </c>
      <c r="B278">
        <v>2026</v>
      </c>
      <c r="C278" t="s">
        <v>659</v>
      </c>
      <c r="D278">
        <v>0</v>
      </c>
      <c r="E278" t="s">
        <v>1003</v>
      </c>
      <c r="F278" t="s">
        <v>2059</v>
      </c>
      <c r="G278">
        <v>11</v>
      </c>
      <c r="H278">
        <v>20</v>
      </c>
      <c r="I278">
        <v>-9.5833999999999993</v>
      </c>
      <c r="J278">
        <v>277</v>
      </c>
      <c r="K278">
        <v>0.26069999999999999</v>
      </c>
      <c r="L278">
        <v>278</v>
      </c>
      <c r="M278">
        <v>101.027</v>
      </c>
      <c r="N278">
        <v>312</v>
      </c>
      <c r="O278">
        <v>99.793999999999997</v>
      </c>
      <c r="P278">
        <v>329</v>
      </c>
      <c r="Q278">
        <v>110.611</v>
      </c>
      <c r="R278">
        <v>201</v>
      </c>
      <c r="S278">
        <v>109.402</v>
      </c>
      <c r="T278">
        <v>207</v>
      </c>
      <c r="U278">
        <v>65.981800000000007</v>
      </c>
      <c r="V278">
        <v>299</v>
      </c>
      <c r="W278">
        <v>65.483800000000002</v>
      </c>
      <c r="X278">
        <v>286</v>
      </c>
      <c r="Y278">
        <v>1.0500000000000001E-2</v>
      </c>
      <c r="Z278">
        <v>155</v>
      </c>
      <c r="AA278">
        <v>-0.40510000000000002</v>
      </c>
      <c r="AB278">
        <v>161</v>
      </c>
      <c r="AC278">
        <v>108.748</v>
      </c>
      <c r="AD278">
        <v>182</v>
      </c>
      <c r="AE278">
        <v>109.15300000000001</v>
      </c>
      <c r="AF278">
        <v>154</v>
      </c>
      <c r="AG278">
        <v>3.306</v>
      </c>
      <c r="AH278">
        <v>99</v>
      </c>
      <c r="AJ278">
        <v>18.59</v>
      </c>
      <c r="AK278">
        <v>300</v>
      </c>
      <c r="AL278">
        <v>17.649999999999999</v>
      </c>
      <c r="AM278">
        <v>212</v>
      </c>
      <c r="AN278">
        <v>18.649999999999999</v>
      </c>
      <c r="AO278">
        <v>10</v>
      </c>
      <c r="AP278">
        <v>17.829999999999998</v>
      </c>
      <c r="AQ278">
        <v>4</v>
      </c>
    </row>
    <row r="279" spans="1:43" x14ac:dyDescent="0.2">
      <c r="A279" t="s">
        <v>1782</v>
      </c>
      <c r="B279">
        <v>2026</v>
      </c>
      <c r="C279" t="s">
        <v>377</v>
      </c>
      <c r="D279">
        <v>0</v>
      </c>
      <c r="E279" t="s">
        <v>1084</v>
      </c>
      <c r="F279" t="s">
        <v>2060</v>
      </c>
      <c r="G279">
        <v>15</v>
      </c>
      <c r="H279">
        <v>17</v>
      </c>
      <c r="I279">
        <v>-9.6213999999999995</v>
      </c>
      <c r="J279">
        <v>278</v>
      </c>
      <c r="K279">
        <v>0.25719999999999998</v>
      </c>
      <c r="L279">
        <v>280</v>
      </c>
      <c r="M279">
        <v>99.569599999999994</v>
      </c>
      <c r="N279">
        <v>332</v>
      </c>
      <c r="O279">
        <v>100.119</v>
      </c>
      <c r="P279">
        <v>326</v>
      </c>
      <c r="Q279">
        <v>109.191</v>
      </c>
      <c r="R279">
        <v>170</v>
      </c>
      <c r="S279">
        <v>104.346</v>
      </c>
      <c r="T279">
        <v>80</v>
      </c>
      <c r="U279">
        <v>67.671199999999999</v>
      </c>
      <c r="V279">
        <v>215</v>
      </c>
      <c r="W279">
        <v>67.520700000000005</v>
      </c>
      <c r="X279">
        <v>173</v>
      </c>
      <c r="Y279">
        <v>2.8000000000000001E-2</v>
      </c>
      <c r="Z279">
        <v>116</v>
      </c>
      <c r="AA279">
        <v>-7.2767999999999997</v>
      </c>
      <c r="AB279">
        <v>306</v>
      </c>
      <c r="AC279">
        <v>104.38800000000001</v>
      </c>
      <c r="AD279">
        <v>313</v>
      </c>
      <c r="AE279">
        <v>111.66500000000001</v>
      </c>
      <c r="AF279">
        <v>251</v>
      </c>
      <c r="AG279">
        <v>0.76800000000000002</v>
      </c>
      <c r="AH279">
        <v>160</v>
      </c>
      <c r="AJ279">
        <v>17.39</v>
      </c>
      <c r="AK279">
        <v>157</v>
      </c>
      <c r="AL279">
        <v>17.940000000000001</v>
      </c>
      <c r="AM279">
        <v>282</v>
      </c>
      <c r="AN279">
        <v>17.66</v>
      </c>
      <c r="AO279">
        <v>5</v>
      </c>
      <c r="AP279">
        <v>18.21</v>
      </c>
      <c r="AQ279">
        <v>7</v>
      </c>
    </row>
    <row r="280" spans="1:43" x14ac:dyDescent="0.2">
      <c r="A280" t="s">
        <v>1782</v>
      </c>
      <c r="B280">
        <v>2026</v>
      </c>
      <c r="C280" t="s">
        <v>47</v>
      </c>
      <c r="D280">
        <v>0</v>
      </c>
      <c r="E280" t="s">
        <v>1055</v>
      </c>
      <c r="F280" t="s">
        <v>2061</v>
      </c>
      <c r="G280">
        <v>13</v>
      </c>
      <c r="H280">
        <v>19</v>
      </c>
      <c r="I280">
        <v>-9.6534999999999993</v>
      </c>
      <c r="J280">
        <v>279</v>
      </c>
      <c r="K280">
        <v>0.28610000000000002</v>
      </c>
      <c r="L280">
        <v>267</v>
      </c>
      <c r="M280">
        <v>116.633</v>
      </c>
      <c r="N280">
        <v>72</v>
      </c>
      <c r="O280">
        <v>118.459</v>
      </c>
      <c r="P280">
        <v>35</v>
      </c>
      <c r="Q280">
        <v>126.286</v>
      </c>
      <c r="R280">
        <v>365</v>
      </c>
      <c r="S280">
        <v>124.752</v>
      </c>
      <c r="T280">
        <v>365</v>
      </c>
      <c r="U280">
        <v>66.14</v>
      </c>
      <c r="V280">
        <v>291</v>
      </c>
      <c r="W280">
        <v>64.662999999999997</v>
      </c>
      <c r="X280">
        <v>322</v>
      </c>
      <c r="Y280">
        <v>-1.3100000000000001E-2</v>
      </c>
      <c r="Z280">
        <v>222</v>
      </c>
      <c r="AA280">
        <v>-4.7911999999999999</v>
      </c>
      <c r="AB280">
        <v>261</v>
      </c>
      <c r="AC280">
        <v>108.613</v>
      </c>
      <c r="AD280">
        <v>194</v>
      </c>
      <c r="AE280">
        <v>113.404</v>
      </c>
      <c r="AF280">
        <v>331</v>
      </c>
      <c r="AG280">
        <v>2.3761000000000001</v>
      </c>
      <c r="AH280">
        <v>116</v>
      </c>
      <c r="AJ280">
        <v>19.010000000000002</v>
      </c>
      <c r="AK280">
        <v>330</v>
      </c>
      <c r="AL280">
        <v>17.03</v>
      </c>
      <c r="AM280">
        <v>68</v>
      </c>
      <c r="AN280">
        <v>19.16</v>
      </c>
      <c r="AO280">
        <v>11</v>
      </c>
      <c r="AP280">
        <v>17.12</v>
      </c>
      <c r="AQ280">
        <v>3</v>
      </c>
    </row>
    <row r="281" spans="1:43" x14ac:dyDescent="0.2">
      <c r="A281" t="s">
        <v>1782</v>
      </c>
      <c r="B281">
        <v>2026</v>
      </c>
      <c r="C281" t="s">
        <v>313</v>
      </c>
      <c r="D281">
        <v>0</v>
      </c>
      <c r="E281" t="s">
        <v>926</v>
      </c>
      <c r="F281" t="s">
        <v>2062</v>
      </c>
      <c r="G281">
        <v>9</v>
      </c>
      <c r="H281">
        <v>24</v>
      </c>
      <c r="I281">
        <v>-10.1592</v>
      </c>
      <c r="J281">
        <v>280</v>
      </c>
      <c r="K281">
        <v>0.25409999999999999</v>
      </c>
      <c r="L281">
        <v>281</v>
      </c>
      <c r="M281">
        <v>103.471</v>
      </c>
      <c r="N281">
        <v>281</v>
      </c>
      <c r="O281">
        <v>101.194</v>
      </c>
      <c r="P281">
        <v>314</v>
      </c>
      <c r="Q281">
        <v>113.631</v>
      </c>
      <c r="R281">
        <v>264</v>
      </c>
      <c r="S281">
        <v>114.751</v>
      </c>
      <c r="T281">
        <v>322</v>
      </c>
      <c r="U281">
        <v>65.878799999999998</v>
      </c>
      <c r="V281">
        <v>301</v>
      </c>
      <c r="W281">
        <v>65.5227</v>
      </c>
      <c r="X281">
        <v>281</v>
      </c>
      <c r="Y281">
        <v>5.7299999999999997E-2</v>
      </c>
      <c r="Z281">
        <v>48</v>
      </c>
      <c r="AA281">
        <v>2.7921</v>
      </c>
      <c r="AB281">
        <v>107</v>
      </c>
      <c r="AC281">
        <v>110.568</v>
      </c>
      <c r="AD281">
        <v>108</v>
      </c>
      <c r="AE281">
        <v>107.776</v>
      </c>
      <c r="AF281">
        <v>113</v>
      </c>
      <c r="AG281">
        <v>-4.6788999999999996</v>
      </c>
      <c r="AH281">
        <v>296</v>
      </c>
      <c r="AJ281">
        <v>18.57</v>
      </c>
      <c r="AK281">
        <v>298</v>
      </c>
      <c r="AL281">
        <v>17.940000000000001</v>
      </c>
      <c r="AM281">
        <v>281</v>
      </c>
      <c r="AN281">
        <v>18.75</v>
      </c>
      <c r="AO281">
        <v>12</v>
      </c>
      <c r="AP281">
        <v>16.989999999999998</v>
      </c>
      <c r="AQ281">
        <v>2</v>
      </c>
    </row>
    <row r="282" spans="1:43" x14ac:dyDescent="0.2">
      <c r="A282" t="s">
        <v>1782</v>
      </c>
      <c r="B282">
        <v>2026</v>
      </c>
      <c r="C282" t="s">
        <v>431</v>
      </c>
      <c r="D282">
        <v>0</v>
      </c>
      <c r="E282" t="s">
        <v>956</v>
      </c>
      <c r="F282" t="s">
        <v>2063</v>
      </c>
      <c r="G282">
        <v>10</v>
      </c>
      <c r="H282">
        <v>22</v>
      </c>
      <c r="I282">
        <v>-10.185499999999999</v>
      </c>
      <c r="J282">
        <v>281</v>
      </c>
      <c r="K282">
        <v>0.2515</v>
      </c>
      <c r="L282">
        <v>284</v>
      </c>
      <c r="M282">
        <v>102.404</v>
      </c>
      <c r="N282">
        <v>298</v>
      </c>
      <c r="O282">
        <v>101.09399999999999</v>
      </c>
      <c r="P282">
        <v>315</v>
      </c>
      <c r="Q282">
        <v>112.589</v>
      </c>
      <c r="R282">
        <v>246</v>
      </c>
      <c r="S282">
        <v>111.511</v>
      </c>
      <c r="T282">
        <v>257</v>
      </c>
      <c r="U282">
        <v>65.152199999999993</v>
      </c>
      <c r="V282">
        <v>330</v>
      </c>
      <c r="W282">
        <v>64.765900000000002</v>
      </c>
      <c r="X282">
        <v>316</v>
      </c>
      <c r="Y282">
        <v>-1.26E-2</v>
      </c>
      <c r="Z282">
        <v>221</v>
      </c>
      <c r="AA282">
        <v>-0.9516</v>
      </c>
      <c r="AB282">
        <v>170</v>
      </c>
      <c r="AC282">
        <v>107.75</v>
      </c>
      <c r="AD282">
        <v>246</v>
      </c>
      <c r="AE282">
        <v>108.702</v>
      </c>
      <c r="AF282">
        <v>144</v>
      </c>
      <c r="AG282">
        <v>7.6916000000000002</v>
      </c>
      <c r="AH282">
        <v>34</v>
      </c>
      <c r="AJ282">
        <v>18.66</v>
      </c>
      <c r="AK282">
        <v>305</v>
      </c>
      <c r="AL282">
        <v>17.89</v>
      </c>
      <c r="AM282">
        <v>267</v>
      </c>
      <c r="AN282">
        <v>18.62</v>
      </c>
      <c r="AO282">
        <v>10</v>
      </c>
      <c r="AP282">
        <v>18.07</v>
      </c>
      <c r="AQ282">
        <v>7</v>
      </c>
    </row>
    <row r="283" spans="1:43" x14ac:dyDescent="0.2">
      <c r="A283" t="s">
        <v>1782</v>
      </c>
      <c r="B283">
        <v>2026</v>
      </c>
      <c r="C283" t="s">
        <v>545</v>
      </c>
      <c r="D283">
        <v>0</v>
      </c>
      <c r="E283" t="s">
        <v>1006</v>
      </c>
      <c r="F283" t="s">
        <v>2064</v>
      </c>
      <c r="G283">
        <v>16</v>
      </c>
      <c r="H283">
        <v>16</v>
      </c>
      <c r="I283">
        <v>-10.273999999999999</v>
      </c>
      <c r="J283">
        <v>282</v>
      </c>
      <c r="K283">
        <v>0.25369999999999998</v>
      </c>
      <c r="L283">
        <v>282</v>
      </c>
      <c r="M283">
        <v>104.447</v>
      </c>
      <c r="N283">
        <v>264</v>
      </c>
      <c r="O283">
        <v>107.34699999999999</v>
      </c>
      <c r="P283">
        <v>202</v>
      </c>
      <c r="Q283">
        <v>114.721</v>
      </c>
      <c r="R283">
        <v>287</v>
      </c>
      <c r="S283">
        <v>112.834</v>
      </c>
      <c r="T283">
        <v>289</v>
      </c>
      <c r="U283">
        <v>71.419700000000006</v>
      </c>
      <c r="V283">
        <v>38</v>
      </c>
      <c r="W283">
        <v>69.853200000000001</v>
      </c>
      <c r="X283">
        <v>53</v>
      </c>
      <c r="Y283">
        <v>5.5800000000000002E-2</v>
      </c>
      <c r="Z283">
        <v>53</v>
      </c>
      <c r="AA283">
        <v>-5.7541000000000002</v>
      </c>
      <c r="AB283">
        <v>279</v>
      </c>
      <c r="AC283">
        <v>107.093</v>
      </c>
      <c r="AD283">
        <v>270</v>
      </c>
      <c r="AE283">
        <v>112.848</v>
      </c>
      <c r="AF283">
        <v>307</v>
      </c>
      <c r="AG283">
        <v>-3.8115000000000001</v>
      </c>
      <c r="AH283">
        <v>283</v>
      </c>
      <c r="AJ283">
        <v>17.02</v>
      </c>
      <c r="AK283">
        <v>107</v>
      </c>
      <c r="AL283">
        <v>16.84</v>
      </c>
      <c r="AM283">
        <v>37</v>
      </c>
      <c r="AN283">
        <v>17.55</v>
      </c>
      <c r="AO283">
        <v>5</v>
      </c>
      <c r="AP283">
        <v>17.03</v>
      </c>
      <c r="AQ283">
        <v>3</v>
      </c>
    </row>
    <row r="284" spans="1:43" x14ac:dyDescent="0.2">
      <c r="A284" t="s">
        <v>1782</v>
      </c>
      <c r="B284">
        <v>2026</v>
      </c>
      <c r="C284" t="s">
        <v>373</v>
      </c>
      <c r="D284">
        <v>0</v>
      </c>
      <c r="E284" t="s">
        <v>1093</v>
      </c>
      <c r="F284" t="s">
        <v>2065</v>
      </c>
      <c r="G284">
        <v>20</v>
      </c>
      <c r="H284">
        <v>13</v>
      </c>
      <c r="I284">
        <v>-10.339600000000001</v>
      </c>
      <c r="J284">
        <v>283</v>
      </c>
      <c r="K284">
        <v>0.25719999999999998</v>
      </c>
      <c r="L284">
        <v>279</v>
      </c>
      <c r="M284">
        <v>107.02800000000001</v>
      </c>
      <c r="N284">
        <v>215</v>
      </c>
      <c r="O284">
        <v>107.045</v>
      </c>
      <c r="P284">
        <v>209</v>
      </c>
      <c r="Q284">
        <v>117.367</v>
      </c>
      <c r="R284">
        <v>320</v>
      </c>
      <c r="S284">
        <v>111.819</v>
      </c>
      <c r="T284">
        <v>266</v>
      </c>
      <c r="U284">
        <v>66.849100000000007</v>
      </c>
      <c r="V284">
        <v>252</v>
      </c>
      <c r="W284">
        <v>65.364599999999996</v>
      </c>
      <c r="X284">
        <v>289</v>
      </c>
      <c r="Y284">
        <v>0.1605</v>
      </c>
      <c r="Z284">
        <v>1</v>
      </c>
      <c r="AA284">
        <v>-7.0434999999999999</v>
      </c>
      <c r="AB284">
        <v>301</v>
      </c>
      <c r="AC284">
        <v>104.11199999999999</v>
      </c>
      <c r="AD284">
        <v>319</v>
      </c>
      <c r="AE284">
        <v>111.155</v>
      </c>
      <c r="AF284">
        <v>227</v>
      </c>
      <c r="AG284">
        <v>6.2112999999999996</v>
      </c>
      <c r="AH284">
        <v>52</v>
      </c>
      <c r="AJ284">
        <v>18.84</v>
      </c>
      <c r="AK284">
        <v>318</v>
      </c>
      <c r="AL284">
        <v>17.05</v>
      </c>
      <c r="AM284">
        <v>75</v>
      </c>
      <c r="AN284">
        <v>19.399999999999999</v>
      </c>
      <c r="AO284">
        <v>11</v>
      </c>
      <c r="AP284">
        <v>17.53</v>
      </c>
      <c r="AQ284">
        <v>3</v>
      </c>
    </row>
    <row r="285" spans="1:43" x14ac:dyDescent="0.2">
      <c r="A285" t="s">
        <v>1782</v>
      </c>
      <c r="B285">
        <v>2026</v>
      </c>
      <c r="C285" t="s">
        <v>291</v>
      </c>
      <c r="D285">
        <v>0</v>
      </c>
      <c r="E285" t="s">
        <v>1043</v>
      </c>
      <c r="F285" t="s">
        <v>2066</v>
      </c>
      <c r="G285">
        <v>18</v>
      </c>
      <c r="H285">
        <v>16</v>
      </c>
      <c r="I285">
        <v>-10.3925</v>
      </c>
      <c r="J285">
        <v>284</v>
      </c>
      <c r="K285">
        <v>0.2485</v>
      </c>
      <c r="L285">
        <v>285</v>
      </c>
      <c r="M285">
        <v>102.869</v>
      </c>
      <c r="N285">
        <v>289</v>
      </c>
      <c r="O285">
        <v>105.14100000000001</v>
      </c>
      <c r="P285">
        <v>249</v>
      </c>
      <c r="Q285">
        <v>113.261</v>
      </c>
      <c r="R285">
        <v>257</v>
      </c>
      <c r="S285">
        <v>108.416</v>
      </c>
      <c r="T285">
        <v>175</v>
      </c>
      <c r="U285">
        <v>66.569699999999997</v>
      </c>
      <c r="V285">
        <v>267</v>
      </c>
      <c r="W285">
        <v>66.919300000000007</v>
      </c>
      <c r="X285">
        <v>204</v>
      </c>
      <c r="Y285">
        <v>8.1000000000000003E-2</v>
      </c>
      <c r="Z285">
        <v>25</v>
      </c>
      <c r="AA285">
        <v>-8.6533999999999995</v>
      </c>
      <c r="AB285">
        <v>330</v>
      </c>
      <c r="AC285">
        <v>105.053</v>
      </c>
      <c r="AD285">
        <v>305</v>
      </c>
      <c r="AE285">
        <v>113.70699999999999</v>
      </c>
      <c r="AF285">
        <v>344</v>
      </c>
      <c r="AG285">
        <v>-0.58009999999999995</v>
      </c>
      <c r="AH285">
        <v>199</v>
      </c>
      <c r="AJ285">
        <v>18.03</v>
      </c>
      <c r="AK285">
        <v>242</v>
      </c>
      <c r="AL285">
        <v>18.02</v>
      </c>
      <c r="AM285">
        <v>296</v>
      </c>
      <c r="AN285">
        <v>18.260000000000002</v>
      </c>
      <c r="AO285">
        <v>5</v>
      </c>
      <c r="AP285">
        <v>18.18</v>
      </c>
      <c r="AQ285">
        <v>5</v>
      </c>
    </row>
    <row r="286" spans="1:43" x14ac:dyDescent="0.2">
      <c r="A286" t="s">
        <v>1782</v>
      </c>
      <c r="B286">
        <v>2026</v>
      </c>
      <c r="C286" t="s">
        <v>553</v>
      </c>
      <c r="D286">
        <v>0</v>
      </c>
      <c r="E286" t="s">
        <v>956</v>
      </c>
      <c r="F286" t="s">
        <v>2067</v>
      </c>
      <c r="G286">
        <v>9</v>
      </c>
      <c r="H286">
        <v>22</v>
      </c>
      <c r="I286">
        <v>-10.587</v>
      </c>
      <c r="J286">
        <v>285</v>
      </c>
      <c r="K286">
        <v>0.23880000000000001</v>
      </c>
      <c r="L286">
        <v>288</v>
      </c>
      <c r="M286">
        <v>99.831000000000003</v>
      </c>
      <c r="N286">
        <v>325</v>
      </c>
      <c r="O286">
        <v>98.520200000000003</v>
      </c>
      <c r="P286">
        <v>339</v>
      </c>
      <c r="Q286">
        <v>110.41800000000001</v>
      </c>
      <c r="R286">
        <v>197</v>
      </c>
      <c r="S286">
        <v>108.419</v>
      </c>
      <c r="T286">
        <v>176</v>
      </c>
      <c r="U286">
        <v>65.639499999999998</v>
      </c>
      <c r="V286">
        <v>313</v>
      </c>
      <c r="W286">
        <v>65.492000000000004</v>
      </c>
      <c r="X286">
        <v>285</v>
      </c>
      <c r="Y286">
        <v>-5.7999999999999996E-3</v>
      </c>
      <c r="Z286">
        <v>203</v>
      </c>
      <c r="AA286">
        <v>-0.93440000000000001</v>
      </c>
      <c r="AB286">
        <v>169</v>
      </c>
      <c r="AC286">
        <v>108.035</v>
      </c>
      <c r="AD286">
        <v>233</v>
      </c>
      <c r="AE286">
        <v>108.97</v>
      </c>
      <c r="AF286">
        <v>148</v>
      </c>
      <c r="AG286">
        <v>5.1859999999999999</v>
      </c>
      <c r="AH286">
        <v>70</v>
      </c>
      <c r="AJ286">
        <v>18.03</v>
      </c>
      <c r="AK286">
        <v>243</v>
      </c>
      <c r="AL286">
        <v>18.21</v>
      </c>
      <c r="AM286">
        <v>320</v>
      </c>
      <c r="AN286">
        <v>17.899999999999999</v>
      </c>
      <c r="AO286">
        <v>5</v>
      </c>
      <c r="AP286">
        <v>18.53</v>
      </c>
      <c r="AQ286">
        <v>11</v>
      </c>
    </row>
    <row r="287" spans="1:43" x14ac:dyDescent="0.2">
      <c r="A287" t="s">
        <v>1782</v>
      </c>
      <c r="B287">
        <v>2026</v>
      </c>
      <c r="C287" t="s">
        <v>419</v>
      </c>
      <c r="D287">
        <v>0</v>
      </c>
      <c r="E287" t="s">
        <v>980</v>
      </c>
      <c r="F287" t="s">
        <v>2068</v>
      </c>
      <c r="G287">
        <v>7</v>
      </c>
      <c r="H287">
        <v>24</v>
      </c>
      <c r="I287">
        <v>-10.6013</v>
      </c>
      <c r="J287">
        <v>286</v>
      </c>
      <c r="K287">
        <v>0.25340000000000001</v>
      </c>
      <c r="L287">
        <v>283</v>
      </c>
      <c r="M287">
        <v>107.626</v>
      </c>
      <c r="N287">
        <v>201</v>
      </c>
      <c r="O287">
        <v>107.101</v>
      </c>
      <c r="P287">
        <v>207</v>
      </c>
      <c r="Q287">
        <v>118.227</v>
      </c>
      <c r="R287">
        <v>330</v>
      </c>
      <c r="S287">
        <v>115.932</v>
      </c>
      <c r="T287">
        <v>335</v>
      </c>
      <c r="U287">
        <v>69.654200000000003</v>
      </c>
      <c r="V287">
        <v>111</v>
      </c>
      <c r="W287">
        <v>69.603800000000007</v>
      </c>
      <c r="X287">
        <v>68</v>
      </c>
      <c r="Y287">
        <v>-6.0999999999999999E-2</v>
      </c>
      <c r="Z287">
        <v>325</v>
      </c>
      <c r="AA287">
        <v>-1.8103</v>
      </c>
      <c r="AB287">
        <v>198</v>
      </c>
      <c r="AC287">
        <v>108.249</v>
      </c>
      <c r="AD287">
        <v>218</v>
      </c>
      <c r="AE287">
        <v>110.059</v>
      </c>
      <c r="AF287">
        <v>187</v>
      </c>
      <c r="AG287">
        <v>-0.84830000000000005</v>
      </c>
      <c r="AH287">
        <v>207</v>
      </c>
      <c r="AJ287">
        <v>17.07</v>
      </c>
      <c r="AK287">
        <v>115</v>
      </c>
      <c r="AL287">
        <v>17.39</v>
      </c>
      <c r="AM287">
        <v>150</v>
      </c>
      <c r="AN287">
        <v>17.149999999999999</v>
      </c>
      <c r="AO287">
        <v>2</v>
      </c>
      <c r="AP287">
        <v>17.37</v>
      </c>
      <c r="AQ287">
        <v>2</v>
      </c>
    </row>
    <row r="288" spans="1:43" x14ac:dyDescent="0.2">
      <c r="A288" t="s">
        <v>1782</v>
      </c>
      <c r="B288">
        <v>2026</v>
      </c>
      <c r="C288" t="s">
        <v>341</v>
      </c>
      <c r="D288">
        <v>0</v>
      </c>
      <c r="E288" t="s">
        <v>1123</v>
      </c>
      <c r="F288" t="s">
        <v>2069</v>
      </c>
      <c r="G288">
        <v>17</v>
      </c>
      <c r="H288">
        <v>17</v>
      </c>
      <c r="I288">
        <v>-10.636900000000001</v>
      </c>
      <c r="J288">
        <v>287</v>
      </c>
      <c r="K288">
        <v>0.24099999999999999</v>
      </c>
      <c r="L288">
        <v>287</v>
      </c>
      <c r="M288">
        <v>101.402</v>
      </c>
      <c r="N288">
        <v>309</v>
      </c>
      <c r="O288">
        <v>103.718</v>
      </c>
      <c r="P288">
        <v>275</v>
      </c>
      <c r="Q288">
        <v>112.039</v>
      </c>
      <c r="R288">
        <v>230</v>
      </c>
      <c r="S288">
        <v>104.64400000000001</v>
      </c>
      <c r="T288">
        <v>86</v>
      </c>
      <c r="U288">
        <v>64.576099999999997</v>
      </c>
      <c r="V288">
        <v>339</v>
      </c>
      <c r="W288">
        <v>64.823400000000007</v>
      </c>
      <c r="X288">
        <v>313</v>
      </c>
      <c r="Y288">
        <v>-1.34E-2</v>
      </c>
      <c r="Z288">
        <v>224</v>
      </c>
      <c r="AA288">
        <v>-10.8161</v>
      </c>
      <c r="AB288">
        <v>354</v>
      </c>
      <c r="AC288">
        <v>102.74</v>
      </c>
      <c r="AD288">
        <v>356</v>
      </c>
      <c r="AE288">
        <v>113.556</v>
      </c>
      <c r="AF288">
        <v>337</v>
      </c>
      <c r="AG288">
        <v>0.20760000000000001</v>
      </c>
      <c r="AH288">
        <v>180</v>
      </c>
      <c r="AJ288">
        <v>19.66</v>
      </c>
      <c r="AK288">
        <v>362</v>
      </c>
      <c r="AL288">
        <v>17.16</v>
      </c>
      <c r="AM288">
        <v>96</v>
      </c>
      <c r="AN288">
        <v>19.309999999999999</v>
      </c>
      <c r="AO288">
        <v>7</v>
      </c>
      <c r="AP288">
        <v>18.010000000000002</v>
      </c>
      <c r="AQ288">
        <v>2</v>
      </c>
    </row>
    <row r="289" spans="1:43" x14ac:dyDescent="0.2">
      <c r="A289" t="s">
        <v>1782</v>
      </c>
      <c r="B289">
        <v>2026</v>
      </c>
      <c r="C289" t="s">
        <v>159</v>
      </c>
      <c r="D289">
        <v>0</v>
      </c>
      <c r="E289" t="s">
        <v>956</v>
      </c>
      <c r="F289" t="s">
        <v>2070</v>
      </c>
      <c r="G289">
        <v>11</v>
      </c>
      <c r="H289">
        <v>21</v>
      </c>
      <c r="I289">
        <v>-10.8262</v>
      </c>
      <c r="J289">
        <v>288</v>
      </c>
      <c r="K289">
        <v>0.23630000000000001</v>
      </c>
      <c r="L289">
        <v>291</v>
      </c>
      <c r="M289">
        <v>100.807</v>
      </c>
      <c r="N289">
        <v>318</v>
      </c>
      <c r="O289">
        <v>98.4375</v>
      </c>
      <c r="P289">
        <v>340</v>
      </c>
      <c r="Q289">
        <v>111.634</v>
      </c>
      <c r="R289">
        <v>221</v>
      </c>
      <c r="S289">
        <v>110.703</v>
      </c>
      <c r="T289">
        <v>234</v>
      </c>
      <c r="U289">
        <v>68.507499999999993</v>
      </c>
      <c r="V289">
        <v>173</v>
      </c>
      <c r="W289">
        <v>68.187799999999996</v>
      </c>
      <c r="X289">
        <v>133</v>
      </c>
      <c r="Y289">
        <v>5.9999999999999995E-4</v>
      </c>
      <c r="Z289">
        <v>188</v>
      </c>
      <c r="AA289">
        <v>-0.86519999999999997</v>
      </c>
      <c r="AB289">
        <v>167</v>
      </c>
      <c r="AC289">
        <v>108.146</v>
      </c>
      <c r="AD289">
        <v>225</v>
      </c>
      <c r="AE289">
        <v>109.011</v>
      </c>
      <c r="AF289">
        <v>151</v>
      </c>
      <c r="AG289">
        <v>6.5342000000000002</v>
      </c>
      <c r="AH289">
        <v>43</v>
      </c>
      <c r="AJ289">
        <v>17.27</v>
      </c>
      <c r="AK289">
        <v>144</v>
      </c>
      <c r="AL289">
        <v>17.71</v>
      </c>
      <c r="AM289">
        <v>229</v>
      </c>
      <c r="AN289">
        <v>17.3</v>
      </c>
      <c r="AO289">
        <v>2</v>
      </c>
      <c r="AP289">
        <v>18.45</v>
      </c>
      <c r="AQ289">
        <v>10</v>
      </c>
    </row>
    <row r="290" spans="1:43" x14ac:dyDescent="0.2">
      <c r="A290" t="s">
        <v>1782</v>
      </c>
      <c r="B290">
        <v>2026</v>
      </c>
      <c r="C290" t="s">
        <v>65</v>
      </c>
      <c r="D290">
        <v>0</v>
      </c>
      <c r="E290" t="s">
        <v>973</v>
      </c>
      <c r="F290" t="s">
        <v>2071</v>
      </c>
      <c r="G290">
        <v>9</v>
      </c>
      <c r="H290">
        <v>18</v>
      </c>
      <c r="I290">
        <v>-10.8553</v>
      </c>
      <c r="J290">
        <v>289</v>
      </c>
      <c r="K290">
        <v>0.23019999999999999</v>
      </c>
      <c r="L290">
        <v>294</v>
      </c>
      <c r="M290">
        <v>98.084800000000001</v>
      </c>
      <c r="N290">
        <v>342</v>
      </c>
      <c r="O290">
        <v>98.753900000000002</v>
      </c>
      <c r="P290">
        <v>338</v>
      </c>
      <c r="Q290">
        <v>108.94</v>
      </c>
      <c r="R290">
        <v>163</v>
      </c>
      <c r="S290">
        <v>106.294</v>
      </c>
      <c r="T290">
        <v>117</v>
      </c>
      <c r="U290">
        <v>66.689899999999994</v>
      </c>
      <c r="V290">
        <v>258</v>
      </c>
      <c r="W290">
        <v>66.4756</v>
      </c>
      <c r="X290">
        <v>228</v>
      </c>
      <c r="Y290">
        <v>-5.0200000000000002E-2</v>
      </c>
      <c r="Z290">
        <v>305</v>
      </c>
      <c r="AA290">
        <v>-3.9895999999999998</v>
      </c>
      <c r="AB290">
        <v>245</v>
      </c>
      <c r="AC290">
        <v>107.93</v>
      </c>
      <c r="AD290">
        <v>242</v>
      </c>
      <c r="AE290">
        <v>111.919</v>
      </c>
      <c r="AF290">
        <v>267</v>
      </c>
      <c r="AG290">
        <v>-8.7571999999999992</v>
      </c>
      <c r="AH290">
        <v>353</v>
      </c>
      <c r="AJ290">
        <v>17.64</v>
      </c>
      <c r="AK290">
        <v>188</v>
      </c>
      <c r="AL290">
        <v>18.2</v>
      </c>
      <c r="AM290">
        <v>317</v>
      </c>
      <c r="AN290">
        <v>17.399999999999999</v>
      </c>
      <c r="AO290">
        <v>4</v>
      </c>
      <c r="AP290">
        <v>18.239999999999998</v>
      </c>
      <c r="AQ290">
        <v>4</v>
      </c>
    </row>
    <row r="291" spans="1:43" x14ac:dyDescent="0.2">
      <c r="A291" t="s">
        <v>1782</v>
      </c>
      <c r="B291">
        <v>2026</v>
      </c>
      <c r="C291" t="s">
        <v>405</v>
      </c>
      <c r="D291">
        <v>0</v>
      </c>
      <c r="E291" t="s">
        <v>980</v>
      </c>
      <c r="F291" t="s">
        <v>2072</v>
      </c>
      <c r="G291">
        <v>11</v>
      </c>
      <c r="H291">
        <v>19</v>
      </c>
      <c r="I291">
        <v>-10.984500000000001</v>
      </c>
      <c r="J291">
        <v>290</v>
      </c>
      <c r="K291">
        <v>0.2422</v>
      </c>
      <c r="L291">
        <v>286</v>
      </c>
      <c r="M291">
        <v>105.355</v>
      </c>
      <c r="N291">
        <v>251</v>
      </c>
      <c r="O291">
        <v>106.358</v>
      </c>
      <c r="P291">
        <v>221</v>
      </c>
      <c r="Q291">
        <v>116.339</v>
      </c>
      <c r="R291">
        <v>309</v>
      </c>
      <c r="S291">
        <v>113.29300000000001</v>
      </c>
      <c r="T291">
        <v>298</v>
      </c>
      <c r="U291">
        <v>69.131500000000003</v>
      </c>
      <c r="V291">
        <v>142</v>
      </c>
      <c r="W291">
        <v>68.519099999999995</v>
      </c>
      <c r="X291">
        <v>116</v>
      </c>
      <c r="Y291">
        <v>-2.3199999999999998E-2</v>
      </c>
      <c r="Z291">
        <v>249</v>
      </c>
      <c r="AA291">
        <v>-3.7797999999999998</v>
      </c>
      <c r="AB291">
        <v>238</v>
      </c>
      <c r="AC291">
        <v>107.53400000000001</v>
      </c>
      <c r="AD291">
        <v>254</v>
      </c>
      <c r="AE291">
        <v>111.31399999999999</v>
      </c>
      <c r="AF291">
        <v>234</v>
      </c>
      <c r="AG291">
        <v>-8.9440000000000008</v>
      </c>
      <c r="AH291">
        <v>356</v>
      </c>
      <c r="AJ291">
        <v>17.79</v>
      </c>
      <c r="AK291">
        <v>211</v>
      </c>
      <c r="AL291">
        <v>16.96</v>
      </c>
      <c r="AM291">
        <v>60</v>
      </c>
      <c r="AN291">
        <v>18.059999999999999</v>
      </c>
      <c r="AO291">
        <v>7</v>
      </c>
      <c r="AP291">
        <v>17.05</v>
      </c>
      <c r="AQ291">
        <v>1</v>
      </c>
    </row>
    <row r="292" spans="1:43" x14ac:dyDescent="0.2">
      <c r="A292" t="s">
        <v>1782</v>
      </c>
      <c r="B292">
        <v>2026</v>
      </c>
      <c r="C292" t="s">
        <v>231</v>
      </c>
      <c r="D292">
        <v>0</v>
      </c>
      <c r="E292" t="s">
        <v>956</v>
      </c>
      <c r="F292" t="s">
        <v>2073</v>
      </c>
      <c r="G292">
        <v>12</v>
      </c>
      <c r="H292">
        <v>20</v>
      </c>
      <c r="I292">
        <v>-11.1319</v>
      </c>
      <c r="J292">
        <v>291</v>
      </c>
      <c r="K292">
        <v>0.2351</v>
      </c>
      <c r="L292">
        <v>293</v>
      </c>
      <c r="M292">
        <v>103.03</v>
      </c>
      <c r="N292">
        <v>287</v>
      </c>
      <c r="O292">
        <v>102.697</v>
      </c>
      <c r="P292">
        <v>297</v>
      </c>
      <c r="Q292">
        <v>114.16200000000001</v>
      </c>
      <c r="R292">
        <v>274</v>
      </c>
      <c r="S292">
        <v>112.262</v>
      </c>
      <c r="T292">
        <v>274</v>
      </c>
      <c r="U292">
        <v>64.445400000000006</v>
      </c>
      <c r="V292">
        <v>346</v>
      </c>
      <c r="W292">
        <v>64.401899999999998</v>
      </c>
      <c r="X292">
        <v>327</v>
      </c>
      <c r="Y292">
        <v>3.44E-2</v>
      </c>
      <c r="Z292">
        <v>100</v>
      </c>
      <c r="AA292">
        <v>-2.4737</v>
      </c>
      <c r="AB292">
        <v>214</v>
      </c>
      <c r="AC292">
        <v>107.518</v>
      </c>
      <c r="AD292">
        <v>255</v>
      </c>
      <c r="AE292">
        <v>109.992</v>
      </c>
      <c r="AF292">
        <v>181</v>
      </c>
      <c r="AG292">
        <v>-1.0386</v>
      </c>
      <c r="AH292">
        <v>215</v>
      </c>
      <c r="AJ292">
        <v>18.97</v>
      </c>
      <c r="AK292">
        <v>327</v>
      </c>
      <c r="AL292">
        <v>17.93</v>
      </c>
      <c r="AM292">
        <v>280</v>
      </c>
      <c r="AN292">
        <v>19.11</v>
      </c>
      <c r="AO292">
        <v>11</v>
      </c>
      <c r="AP292">
        <v>17.97</v>
      </c>
      <c r="AQ292">
        <v>5</v>
      </c>
    </row>
    <row r="293" spans="1:43" x14ac:dyDescent="0.2">
      <c r="A293" t="s">
        <v>1782</v>
      </c>
      <c r="B293">
        <v>2026</v>
      </c>
      <c r="C293" t="s">
        <v>139</v>
      </c>
      <c r="D293">
        <v>0</v>
      </c>
      <c r="E293" t="s">
        <v>1003</v>
      </c>
      <c r="F293" t="s">
        <v>2074</v>
      </c>
      <c r="G293">
        <v>10</v>
      </c>
      <c r="H293">
        <v>21</v>
      </c>
      <c r="I293">
        <v>-11.223599999999999</v>
      </c>
      <c r="J293">
        <v>292</v>
      </c>
      <c r="K293">
        <v>0.2366</v>
      </c>
      <c r="L293">
        <v>290</v>
      </c>
      <c r="M293">
        <v>104.673</v>
      </c>
      <c r="N293">
        <v>262</v>
      </c>
      <c r="O293">
        <v>103.887</v>
      </c>
      <c r="P293">
        <v>274</v>
      </c>
      <c r="Q293">
        <v>115.896</v>
      </c>
      <c r="R293">
        <v>303</v>
      </c>
      <c r="S293">
        <v>113.57899999999999</v>
      </c>
      <c r="T293">
        <v>303</v>
      </c>
      <c r="U293">
        <v>63.967599999999997</v>
      </c>
      <c r="V293">
        <v>356</v>
      </c>
      <c r="W293">
        <v>63.113999999999997</v>
      </c>
      <c r="X293">
        <v>355</v>
      </c>
      <c r="Y293">
        <v>6.4999999999999997E-3</v>
      </c>
      <c r="Z293">
        <v>174</v>
      </c>
      <c r="AA293">
        <v>-2.7816999999999998</v>
      </c>
      <c r="AB293">
        <v>218</v>
      </c>
      <c r="AC293">
        <v>107.51300000000001</v>
      </c>
      <c r="AD293">
        <v>256</v>
      </c>
      <c r="AE293">
        <v>110.295</v>
      </c>
      <c r="AF293">
        <v>196</v>
      </c>
      <c r="AG293">
        <v>-6.8578999999999999</v>
      </c>
      <c r="AH293">
        <v>332</v>
      </c>
      <c r="AJ293">
        <v>20.09</v>
      </c>
      <c r="AK293">
        <v>365</v>
      </c>
      <c r="AL293">
        <v>17.43</v>
      </c>
      <c r="AM293">
        <v>158</v>
      </c>
      <c r="AN293">
        <v>20.51</v>
      </c>
      <c r="AO293">
        <v>12</v>
      </c>
      <c r="AP293">
        <v>17.829999999999998</v>
      </c>
      <c r="AQ293">
        <v>5</v>
      </c>
    </row>
    <row r="294" spans="1:43" x14ac:dyDescent="0.2">
      <c r="A294" t="s">
        <v>1782</v>
      </c>
      <c r="B294">
        <v>2026</v>
      </c>
      <c r="C294" t="s">
        <v>43</v>
      </c>
      <c r="D294">
        <v>0</v>
      </c>
      <c r="E294" t="s">
        <v>953</v>
      </c>
      <c r="F294" t="s">
        <v>2075</v>
      </c>
      <c r="G294">
        <v>12</v>
      </c>
      <c r="H294">
        <v>19</v>
      </c>
      <c r="I294">
        <v>-11.317</v>
      </c>
      <c r="J294">
        <v>293</v>
      </c>
      <c r="K294">
        <v>0.22289999999999999</v>
      </c>
      <c r="L294">
        <v>298</v>
      </c>
      <c r="M294">
        <v>98.6464</v>
      </c>
      <c r="N294">
        <v>339</v>
      </c>
      <c r="O294">
        <v>100.083</v>
      </c>
      <c r="P294">
        <v>327</v>
      </c>
      <c r="Q294">
        <v>109.96299999999999</v>
      </c>
      <c r="R294">
        <v>191</v>
      </c>
      <c r="S294">
        <v>108.313</v>
      </c>
      <c r="T294">
        <v>173</v>
      </c>
      <c r="U294">
        <v>65.344399999999993</v>
      </c>
      <c r="V294">
        <v>322</v>
      </c>
      <c r="W294">
        <v>63.6892</v>
      </c>
      <c r="X294">
        <v>343</v>
      </c>
      <c r="Y294">
        <v>-5.0000000000000001E-3</v>
      </c>
      <c r="Z294">
        <v>200</v>
      </c>
      <c r="AA294">
        <v>-4.0726000000000004</v>
      </c>
      <c r="AB294">
        <v>248</v>
      </c>
      <c r="AC294">
        <v>108.17700000000001</v>
      </c>
      <c r="AD294">
        <v>221</v>
      </c>
      <c r="AE294">
        <v>112.25</v>
      </c>
      <c r="AF294">
        <v>281</v>
      </c>
      <c r="AG294">
        <v>-6.4513999999999996</v>
      </c>
      <c r="AH294">
        <v>325</v>
      </c>
      <c r="AJ294">
        <v>18.89</v>
      </c>
      <c r="AK294">
        <v>323</v>
      </c>
      <c r="AL294">
        <v>17.77</v>
      </c>
      <c r="AM294">
        <v>242</v>
      </c>
      <c r="AN294">
        <v>18.940000000000001</v>
      </c>
      <c r="AO294">
        <v>13</v>
      </c>
      <c r="AP294">
        <v>18.03</v>
      </c>
      <c r="AQ294">
        <v>12</v>
      </c>
    </row>
    <row r="295" spans="1:43" x14ac:dyDescent="0.2">
      <c r="A295" t="s">
        <v>1782</v>
      </c>
      <c r="B295">
        <v>2026</v>
      </c>
      <c r="C295" t="s">
        <v>263</v>
      </c>
      <c r="D295">
        <v>0</v>
      </c>
      <c r="E295" t="s">
        <v>1055</v>
      </c>
      <c r="F295" t="s">
        <v>2076</v>
      </c>
      <c r="G295">
        <v>12</v>
      </c>
      <c r="H295">
        <v>20</v>
      </c>
      <c r="I295">
        <v>-11.456099999999999</v>
      </c>
      <c r="J295">
        <v>294</v>
      </c>
      <c r="K295">
        <v>0.2296</v>
      </c>
      <c r="L295">
        <v>295</v>
      </c>
      <c r="M295">
        <v>103.217</v>
      </c>
      <c r="N295">
        <v>285</v>
      </c>
      <c r="O295">
        <v>105.756</v>
      </c>
      <c r="P295">
        <v>236</v>
      </c>
      <c r="Q295">
        <v>114.673</v>
      </c>
      <c r="R295">
        <v>285</v>
      </c>
      <c r="S295">
        <v>113.998</v>
      </c>
      <c r="T295">
        <v>309</v>
      </c>
      <c r="U295">
        <v>65.1785</v>
      </c>
      <c r="V295">
        <v>329</v>
      </c>
      <c r="W295">
        <v>63.390700000000002</v>
      </c>
      <c r="X295">
        <v>349</v>
      </c>
      <c r="Y295">
        <v>-2.9499999999999998E-2</v>
      </c>
      <c r="Z295">
        <v>269</v>
      </c>
      <c r="AA295">
        <v>-4.0838999999999999</v>
      </c>
      <c r="AB295">
        <v>249</v>
      </c>
      <c r="AC295">
        <v>109.086</v>
      </c>
      <c r="AD295">
        <v>168</v>
      </c>
      <c r="AE295">
        <v>113.17</v>
      </c>
      <c r="AF295">
        <v>323</v>
      </c>
      <c r="AG295">
        <v>5.2565</v>
      </c>
      <c r="AH295">
        <v>66</v>
      </c>
      <c r="AJ295">
        <v>19.29</v>
      </c>
      <c r="AK295">
        <v>348</v>
      </c>
      <c r="AL295">
        <v>17.3</v>
      </c>
      <c r="AM295">
        <v>124</v>
      </c>
      <c r="AN295">
        <v>19.62</v>
      </c>
      <c r="AO295">
        <v>12</v>
      </c>
      <c r="AP295">
        <v>17.559999999999999</v>
      </c>
      <c r="AQ295">
        <v>7</v>
      </c>
    </row>
    <row r="296" spans="1:43" x14ac:dyDescent="0.2">
      <c r="A296" t="s">
        <v>1782</v>
      </c>
      <c r="B296">
        <v>2026</v>
      </c>
      <c r="C296" t="s">
        <v>507</v>
      </c>
      <c r="D296">
        <v>0</v>
      </c>
      <c r="E296" t="s">
        <v>1084</v>
      </c>
      <c r="F296" t="s">
        <v>2077</v>
      </c>
      <c r="G296">
        <v>14</v>
      </c>
      <c r="H296">
        <v>19</v>
      </c>
      <c r="I296">
        <v>-11.5741</v>
      </c>
      <c r="J296">
        <v>295</v>
      </c>
      <c r="K296">
        <v>0.23549999999999999</v>
      </c>
      <c r="L296">
        <v>292</v>
      </c>
      <c r="M296">
        <v>107.34099999999999</v>
      </c>
      <c r="N296">
        <v>206</v>
      </c>
      <c r="O296">
        <v>107.926</v>
      </c>
      <c r="P296">
        <v>189</v>
      </c>
      <c r="Q296">
        <v>118.91500000000001</v>
      </c>
      <c r="R296">
        <v>337</v>
      </c>
      <c r="S296">
        <v>112.80800000000001</v>
      </c>
      <c r="T296">
        <v>288</v>
      </c>
      <c r="U296">
        <v>68.354100000000003</v>
      </c>
      <c r="V296">
        <v>183</v>
      </c>
      <c r="W296">
        <v>68.447800000000001</v>
      </c>
      <c r="X296">
        <v>122</v>
      </c>
      <c r="Y296">
        <v>8.9999999999999998E-4</v>
      </c>
      <c r="Z296">
        <v>187</v>
      </c>
      <c r="AA296">
        <v>-7.5728</v>
      </c>
      <c r="AB296">
        <v>309</v>
      </c>
      <c r="AC296">
        <v>104.139</v>
      </c>
      <c r="AD296">
        <v>317</v>
      </c>
      <c r="AE296">
        <v>111.712</v>
      </c>
      <c r="AF296">
        <v>254</v>
      </c>
      <c r="AG296">
        <v>-2.1213000000000002</v>
      </c>
      <c r="AH296">
        <v>243</v>
      </c>
      <c r="AJ296">
        <v>17.149999999999999</v>
      </c>
      <c r="AK296">
        <v>125</v>
      </c>
      <c r="AL296">
        <v>17.95</v>
      </c>
      <c r="AM296">
        <v>283</v>
      </c>
      <c r="AN296">
        <v>17.07</v>
      </c>
      <c r="AO296">
        <v>2</v>
      </c>
      <c r="AP296">
        <v>18.37</v>
      </c>
      <c r="AQ296">
        <v>9</v>
      </c>
    </row>
    <row r="297" spans="1:43" x14ac:dyDescent="0.2">
      <c r="A297" t="s">
        <v>1782</v>
      </c>
      <c r="B297">
        <v>2026</v>
      </c>
      <c r="C297" t="s">
        <v>163</v>
      </c>
      <c r="D297">
        <v>0</v>
      </c>
      <c r="E297" t="s">
        <v>1055</v>
      </c>
      <c r="F297" t="s">
        <v>2078</v>
      </c>
      <c r="G297">
        <v>11</v>
      </c>
      <c r="H297">
        <v>21</v>
      </c>
      <c r="I297">
        <v>-11.6922</v>
      </c>
      <c r="J297">
        <v>296</v>
      </c>
      <c r="K297">
        <v>0.23699999999999999</v>
      </c>
      <c r="L297">
        <v>289</v>
      </c>
      <c r="M297">
        <v>109.259</v>
      </c>
      <c r="N297">
        <v>173</v>
      </c>
      <c r="O297">
        <v>111.379</v>
      </c>
      <c r="P297">
        <v>113</v>
      </c>
      <c r="Q297">
        <v>120.95099999999999</v>
      </c>
      <c r="R297">
        <v>350</v>
      </c>
      <c r="S297">
        <v>119.10299999999999</v>
      </c>
      <c r="T297">
        <v>355</v>
      </c>
      <c r="U297">
        <v>68.683199999999999</v>
      </c>
      <c r="V297">
        <v>165</v>
      </c>
      <c r="W297">
        <v>67.298699999999997</v>
      </c>
      <c r="X297">
        <v>183</v>
      </c>
      <c r="Y297">
        <v>-1.6899999999999998E-2</v>
      </c>
      <c r="Z297">
        <v>228</v>
      </c>
      <c r="AA297">
        <v>-4.12</v>
      </c>
      <c r="AB297">
        <v>251</v>
      </c>
      <c r="AC297">
        <v>108.922</v>
      </c>
      <c r="AD297">
        <v>173</v>
      </c>
      <c r="AE297">
        <v>113.042</v>
      </c>
      <c r="AF297">
        <v>317</v>
      </c>
      <c r="AG297">
        <v>2.8963999999999999</v>
      </c>
      <c r="AH297">
        <v>107</v>
      </c>
      <c r="AJ297">
        <v>18.239999999999998</v>
      </c>
      <c r="AK297">
        <v>260</v>
      </c>
      <c r="AL297">
        <v>16.600000000000001</v>
      </c>
      <c r="AM297">
        <v>17</v>
      </c>
      <c r="AN297">
        <v>18.5</v>
      </c>
      <c r="AO297">
        <v>9</v>
      </c>
      <c r="AP297">
        <v>16.739999999999998</v>
      </c>
      <c r="AQ297">
        <v>1</v>
      </c>
    </row>
    <row r="298" spans="1:43" x14ac:dyDescent="0.2">
      <c r="A298" t="s">
        <v>1782</v>
      </c>
      <c r="B298">
        <v>2026</v>
      </c>
      <c r="C298" t="s">
        <v>9</v>
      </c>
      <c r="D298">
        <v>0</v>
      </c>
      <c r="E298" t="s">
        <v>1154</v>
      </c>
      <c r="F298" t="s">
        <v>2079</v>
      </c>
      <c r="G298">
        <v>18</v>
      </c>
      <c r="H298">
        <v>14</v>
      </c>
      <c r="I298">
        <v>-11.708</v>
      </c>
      <c r="J298">
        <v>297</v>
      </c>
      <c r="K298">
        <v>0.22839999999999999</v>
      </c>
      <c r="L298">
        <v>296</v>
      </c>
      <c r="M298">
        <v>104.864</v>
      </c>
      <c r="N298">
        <v>259</v>
      </c>
      <c r="O298">
        <v>106.31699999999999</v>
      </c>
      <c r="P298">
        <v>225</v>
      </c>
      <c r="Q298">
        <v>116.572</v>
      </c>
      <c r="R298">
        <v>312</v>
      </c>
      <c r="S298">
        <v>109.09699999999999</v>
      </c>
      <c r="T298">
        <v>202</v>
      </c>
      <c r="U298">
        <v>67.442400000000006</v>
      </c>
      <c r="V298">
        <v>225</v>
      </c>
      <c r="W298">
        <v>65.564899999999994</v>
      </c>
      <c r="X298">
        <v>278</v>
      </c>
      <c r="Y298">
        <v>6.1400000000000003E-2</v>
      </c>
      <c r="Z298">
        <v>45</v>
      </c>
      <c r="AA298">
        <v>-10.9793</v>
      </c>
      <c r="AB298">
        <v>356</v>
      </c>
      <c r="AC298">
        <v>102.16200000000001</v>
      </c>
      <c r="AD298">
        <v>360</v>
      </c>
      <c r="AE298">
        <v>113.14100000000001</v>
      </c>
      <c r="AF298">
        <v>322</v>
      </c>
      <c r="AG298">
        <v>-2.1347999999999998</v>
      </c>
      <c r="AH298">
        <v>245</v>
      </c>
      <c r="AJ298">
        <v>18.38</v>
      </c>
      <c r="AK298">
        <v>273</v>
      </c>
      <c r="AL298">
        <v>16.91</v>
      </c>
      <c r="AM298">
        <v>52</v>
      </c>
      <c r="AN298">
        <v>18.010000000000002</v>
      </c>
      <c r="AO298">
        <v>11</v>
      </c>
      <c r="AP298">
        <v>17.04</v>
      </c>
      <c r="AQ298">
        <v>5</v>
      </c>
    </row>
    <row r="299" spans="1:43" x14ac:dyDescent="0.2">
      <c r="A299" t="s">
        <v>1782</v>
      </c>
      <c r="B299">
        <v>2026</v>
      </c>
      <c r="C299" t="s">
        <v>289</v>
      </c>
      <c r="D299">
        <v>0</v>
      </c>
      <c r="E299" t="s">
        <v>1123</v>
      </c>
      <c r="F299" t="s">
        <v>2080</v>
      </c>
      <c r="G299">
        <v>15</v>
      </c>
      <c r="H299">
        <v>17</v>
      </c>
      <c r="I299">
        <v>-11.7913</v>
      </c>
      <c r="J299">
        <v>298</v>
      </c>
      <c r="K299">
        <v>0.22159999999999999</v>
      </c>
      <c r="L299">
        <v>299</v>
      </c>
      <c r="M299">
        <v>102.134</v>
      </c>
      <c r="N299">
        <v>301</v>
      </c>
      <c r="O299">
        <v>104.88800000000001</v>
      </c>
      <c r="P299">
        <v>253</v>
      </c>
      <c r="Q299">
        <v>113.925</v>
      </c>
      <c r="R299">
        <v>270</v>
      </c>
      <c r="S299">
        <v>106.54600000000001</v>
      </c>
      <c r="T299">
        <v>126</v>
      </c>
      <c r="U299">
        <v>69.196799999999996</v>
      </c>
      <c r="V299">
        <v>138</v>
      </c>
      <c r="W299">
        <v>69.532300000000006</v>
      </c>
      <c r="X299">
        <v>69</v>
      </c>
      <c r="Y299">
        <v>-1.83E-2</v>
      </c>
      <c r="Z299">
        <v>234</v>
      </c>
      <c r="AA299">
        <v>-10.622299999999999</v>
      </c>
      <c r="AB299">
        <v>353</v>
      </c>
      <c r="AC299">
        <v>102.78700000000001</v>
      </c>
      <c r="AD299">
        <v>353</v>
      </c>
      <c r="AE299">
        <v>113.41</v>
      </c>
      <c r="AF299">
        <v>332</v>
      </c>
      <c r="AG299">
        <v>-1.7101999999999999</v>
      </c>
      <c r="AH299">
        <v>232</v>
      </c>
      <c r="AJ299">
        <v>16.760000000000002</v>
      </c>
      <c r="AK299">
        <v>80</v>
      </c>
      <c r="AL299">
        <v>17.91</v>
      </c>
      <c r="AM299">
        <v>271</v>
      </c>
      <c r="AN299">
        <v>16.36</v>
      </c>
      <c r="AO299">
        <v>1</v>
      </c>
      <c r="AP299">
        <v>18.579999999999998</v>
      </c>
      <c r="AQ299">
        <v>7</v>
      </c>
    </row>
    <row r="300" spans="1:43" x14ac:dyDescent="0.2">
      <c r="A300" t="s">
        <v>1782</v>
      </c>
      <c r="B300">
        <v>2026</v>
      </c>
      <c r="C300" t="s">
        <v>213</v>
      </c>
      <c r="D300">
        <v>0</v>
      </c>
      <c r="E300" t="s">
        <v>1154</v>
      </c>
      <c r="F300" t="s">
        <v>2081</v>
      </c>
      <c r="G300">
        <v>14</v>
      </c>
      <c r="H300">
        <v>19</v>
      </c>
      <c r="I300">
        <v>-11.829800000000001</v>
      </c>
      <c r="J300">
        <v>299</v>
      </c>
      <c r="K300">
        <v>0.21010000000000001</v>
      </c>
      <c r="L300">
        <v>304</v>
      </c>
      <c r="M300">
        <v>96.918300000000002</v>
      </c>
      <c r="N300">
        <v>346</v>
      </c>
      <c r="O300">
        <v>99.659499999999994</v>
      </c>
      <c r="P300">
        <v>331</v>
      </c>
      <c r="Q300">
        <v>108.748</v>
      </c>
      <c r="R300">
        <v>159</v>
      </c>
      <c r="S300">
        <v>102.699</v>
      </c>
      <c r="T300">
        <v>57</v>
      </c>
      <c r="U300">
        <v>69.348399999999998</v>
      </c>
      <c r="V300">
        <v>129</v>
      </c>
      <c r="W300">
        <v>67.543499999999995</v>
      </c>
      <c r="X300">
        <v>171</v>
      </c>
      <c r="Y300">
        <v>-5.28E-2</v>
      </c>
      <c r="Z300">
        <v>312</v>
      </c>
      <c r="AA300">
        <v>-9.3026</v>
      </c>
      <c r="AB300">
        <v>344</v>
      </c>
      <c r="AC300">
        <v>103.372</v>
      </c>
      <c r="AD300">
        <v>344</v>
      </c>
      <c r="AE300">
        <v>112.675</v>
      </c>
      <c r="AF300">
        <v>299</v>
      </c>
      <c r="AG300">
        <v>2.0177999999999998</v>
      </c>
      <c r="AH300">
        <v>126</v>
      </c>
      <c r="AJ300">
        <v>16.97</v>
      </c>
      <c r="AK300">
        <v>102</v>
      </c>
      <c r="AL300">
        <v>17.73</v>
      </c>
      <c r="AM300">
        <v>232</v>
      </c>
      <c r="AN300">
        <v>16.86</v>
      </c>
      <c r="AO300">
        <v>6</v>
      </c>
      <c r="AP300">
        <v>17.62</v>
      </c>
      <c r="AQ300">
        <v>11</v>
      </c>
    </row>
    <row r="301" spans="1:43" x14ac:dyDescent="0.2">
      <c r="A301" t="s">
        <v>1782</v>
      </c>
      <c r="B301">
        <v>2026</v>
      </c>
      <c r="C301" t="s">
        <v>645</v>
      </c>
      <c r="D301">
        <v>0</v>
      </c>
      <c r="E301" t="s">
        <v>1071</v>
      </c>
      <c r="F301" t="s">
        <v>2082</v>
      </c>
      <c r="G301">
        <v>15</v>
      </c>
      <c r="H301">
        <v>19</v>
      </c>
      <c r="I301">
        <v>-12.198600000000001</v>
      </c>
      <c r="J301">
        <v>300</v>
      </c>
      <c r="K301">
        <v>0.22559999999999999</v>
      </c>
      <c r="L301">
        <v>297</v>
      </c>
      <c r="M301">
        <v>107.76300000000001</v>
      </c>
      <c r="N301">
        <v>198</v>
      </c>
      <c r="O301">
        <v>110.801</v>
      </c>
      <c r="P301">
        <v>127</v>
      </c>
      <c r="Q301">
        <v>119.962</v>
      </c>
      <c r="R301">
        <v>348</v>
      </c>
      <c r="S301">
        <v>118.1</v>
      </c>
      <c r="T301">
        <v>350</v>
      </c>
      <c r="U301">
        <v>68.615799999999993</v>
      </c>
      <c r="V301">
        <v>169</v>
      </c>
      <c r="W301">
        <v>67.675899999999999</v>
      </c>
      <c r="X301">
        <v>163</v>
      </c>
      <c r="Y301">
        <v>5.57E-2</v>
      </c>
      <c r="Z301">
        <v>54</v>
      </c>
      <c r="AA301">
        <v>-6.1574999999999998</v>
      </c>
      <c r="AB301">
        <v>289</v>
      </c>
      <c r="AC301">
        <v>108.107</v>
      </c>
      <c r="AD301">
        <v>227</v>
      </c>
      <c r="AE301">
        <v>114.264</v>
      </c>
      <c r="AF301">
        <v>354</v>
      </c>
      <c r="AG301">
        <v>-0.93379999999999996</v>
      </c>
      <c r="AH301">
        <v>211</v>
      </c>
      <c r="AJ301">
        <v>17.350000000000001</v>
      </c>
      <c r="AK301">
        <v>156</v>
      </c>
      <c r="AL301">
        <v>17.47</v>
      </c>
      <c r="AM301">
        <v>167</v>
      </c>
      <c r="AN301">
        <v>17.12</v>
      </c>
      <c r="AO301">
        <v>3</v>
      </c>
      <c r="AP301">
        <v>17.8</v>
      </c>
      <c r="AQ301">
        <v>6</v>
      </c>
    </row>
    <row r="302" spans="1:43" x14ac:dyDescent="0.2">
      <c r="A302" t="s">
        <v>1782</v>
      </c>
      <c r="B302">
        <v>2026</v>
      </c>
      <c r="C302" t="s">
        <v>103</v>
      </c>
      <c r="D302">
        <v>0</v>
      </c>
      <c r="E302" t="s">
        <v>1071</v>
      </c>
      <c r="F302" t="s">
        <v>2083</v>
      </c>
      <c r="G302">
        <v>13</v>
      </c>
      <c r="H302">
        <v>19</v>
      </c>
      <c r="I302">
        <v>-12.2117</v>
      </c>
      <c r="J302">
        <v>301</v>
      </c>
      <c r="K302">
        <v>0.22120000000000001</v>
      </c>
      <c r="L302">
        <v>300</v>
      </c>
      <c r="M302">
        <v>105.557</v>
      </c>
      <c r="N302">
        <v>246</v>
      </c>
      <c r="O302">
        <v>109.83199999999999</v>
      </c>
      <c r="P302">
        <v>142</v>
      </c>
      <c r="Q302">
        <v>117.768</v>
      </c>
      <c r="R302">
        <v>328</v>
      </c>
      <c r="S302">
        <v>115.673</v>
      </c>
      <c r="T302">
        <v>331</v>
      </c>
      <c r="U302">
        <v>67.582800000000006</v>
      </c>
      <c r="V302">
        <v>218</v>
      </c>
      <c r="W302">
        <v>67.221900000000005</v>
      </c>
      <c r="X302">
        <v>187</v>
      </c>
      <c r="Y302">
        <v>-2.9100000000000001E-2</v>
      </c>
      <c r="Z302">
        <v>267</v>
      </c>
      <c r="AA302">
        <v>-7.0260999999999996</v>
      </c>
      <c r="AB302">
        <v>300</v>
      </c>
      <c r="AC302">
        <v>107.867</v>
      </c>
      <c r="AD302">
        <v>244</v>
      </c>
      <c r="AE302">
        <v>114.893</v>
      </c>
      <c r="AF302">
        <v>360</v>
      </c>
      <c r="AG302">
        <v>-2.4984999999999999</v>
      </c>
      <c r="AH302">
        <v>258</v>
      </c>
      <c r="AJ302">
        <v>17.05</v>
      </c>
      <c r="AK302">
        <v>110</v>
      </c>
      <c r="AL302">
        <v>18.52</v>
      </c>
      <c r="AM302">
        <v>349</v>
      </c>
      <c r="AN302">
        <v>16.91</v>
      </c>
      <c r="AO302">
        <v>2</v>
      </c>
      <c r="AP302">
        <v>18.489999999999998</v>
      </c>
      <c r="AQ302">
        <v>10</v>
      </c>
    </row>
    <row r="303" spans="1:43" x14ac:dyDescent="0.2">
      <c r="A303" t="s">
        <v>1782</v>
      </c>
      <c r="B303">
        <v>2026</v>
      </c>
      <c r="C303" t="s">
        <v>471</v>
      </c>
      <c r="D303">
        <v>0</v>
      </c>
      <c r="E303" t="s">
        <v>1154</v>
      </c>
      <c r="F303" t="s">
        <v>2084</v>
      </c>
      <c r="G303">
        <v>16</v>
      </c>
      <c r="H303">
        <v>17</v>
      </c>
      <c r="I303">
        <v>-12.302300000000001</v>
      </c>
      <c r="J303">
        <v>302</v>
      </c>
      <c r="K303">
        <v>0.2102</v>
      </c>
      <c r="L303">
        <v>303</v>
      </c>
      <c r="M303">
        <v>100.824</v>
      </c>
      <c r="N303">
        <v>317</v>
      </c>
      <c r="O303">
        <v>103.137</v>
      </c>
      <c r="P303">
        <v>285</v>
      </c>
      <c r="Q303">
        <v>113.126</v>
      </c>
      <c r="R303">
        <v>252</v>
      </c>
      <c r="S303">
        <v>107.64700000000001</v>
      </c>
      <c r="T303">
        <v>154</v>
      </c>
      <c r="U303">
        <v>73.399799999999999</v>
      </c>
      <c r="V303">
        <v>10</v>
      </c>
      <c r="W303">
        <v>71.519499999999994</v>
      </c>
      <c r="X303">
        <v>17</v>
      </c>
      <c r="Y303">
        <v>1.01E-2</v>
      </c>
      <c r="Z303">
        <v>156</v>
      </c>
      <c r="AA303">
        <v>-9.4710999999999999</v>
      </c>
      <c r="AB303">
        <v>347</v>
      </c>
      <c r="AC303">
        <v>103.544</v>
      </c>
      <c r="AD303">
        <v>339</v>
      </c>
      <c r="AE303">
        <v>113.015</v>
      </c>
      <c r="AF303">
        <v>313</v>
      </c>
      <c r="AG303">
        <v>8.8331</v>
      </c>
      <c r="AH303">
        <v>24</v>
      </c>
      <c r="AJ303">
        <v>16.22</v>
      </c>
      <c r="AK303">
        <v>40</v>
      </c>
      <c r="AL303">
        <v>16.46</v>
      </c>
      <c r="AM303">
        <v>11</v>
      </c>
      <c r="AN303">
        <v>16.22</v>
      </c>
      <c r="AO303">
        <v>1</v>
      </c>
      <c r="AP303">
        <v>16.68</v>
      </c>
      <c r="AQ303">
        <v>2</v>
      </c>
    </row>
    <row r="304" spans="1:43" x14ac:dyDescent="0.2">
      <c r="A304" t="s">
        <v>1782</v>
      </c>
      <c r="B304">
        <v>2026</v>
      </c>
      <c r="C304" t="s">
        <v>653</v>
      </c>
      <c r="D304">
        <v>0</v>
      </c>
      <c r="E304" t="s">
        <v>987</v>
      </c>
      <c r="F304" t="s">
        <v>2085</v>
      </c>
      <c r="G304">
        <v>13</v>
      </c>
      <c r="H304">
        <v>19</v>
      </c>
      <c r="I304">
        <v>-12.3863</v>
      </c>
      <c r="J304">
        <v>303</v>
      </c>
      <c r="K304">
        <v>0.20519999999999999</v>
      </c>
      <c r="L304">
        <v>307</v>
      </c>
      <c r="M304">
        <v>99.107600000000005</v>
      </c>
      <c r="N304">
        <v>337</v>
      </c>
      <c r="O304">
        <v>100.673</v>
      </c>
      <c r="P304">
        <v>319</v>
      </c>
      <c r="Q304">
        <v>111.494</v>
      </c>
      <c r="R304">
        <v>217</v>
      </c>
      <c r="S304">
        <v>107.601</v>
      </c>
      <c r="T304">
        <v>151</v>
      </c>
      <c r="U304">
        <v>69.234999999999999</v>
      </c>
      <c r="V304">
        <v>135</v>
      </c>
      <c r="W304">
        <v>67.504900000000006</v>
      </c>
      <c r="X304">
        <v>174</v>
      </c>
      <c r="Y304">
        <v>2.52E-2</v>
      </c>
      <c r="Z304">
        <v>122</v>
      </c>
      <c r="AA304">
        <v>-5.5789999999999997</v>
      </c>
      <c r="AB304">
        <v>272</v>
      </c>
      <c r="AC304">
        <v>106.202</v>
      </c>
      <c r="AD304">
        <v>286</v>
      </c>
      <c r="AE304">
        <v>111.78100000000001</v>
      </c>
      <c r="AF304">
        <v>257</v>
      </c>
      <c r="AG304">
        <v>-1.4785999999999999</v>
      </c>
      <c r="AH304">
        <v>225</v>
      </c>
      <c r="AJ304">
        <v>17.11</v>
      </c>
      <c r="AK304">
        <v>121</v>
      </c>
      <c r="AL304">
        <v>17.54</v>
      </c>
      <c r="AM304">
        <v>182</v>
      </c>
      <c r="AN304">
        <v>17.07</v>
      </c>
      <c r="AO304">
        <v>5</v>
      </c>
      <c r="AP304">
        <v>17.59</v>
      </c>
      <c r="AQ304">
        <v>6</v>
      </c>
    </row>
    <row r="305" spans="1:43" x14ac:dyDescent="0.2">
      <c r="A305" t="s">
        <v>1782</v>
      </c>
      <c r="B305">
        <v>2026</v>
      </c>
      <c r="C305" t="s">
        <v>575</v>
      </c>
      <c r="D305">
        <v>0</v>
      </c>
      <c r="E305" t="s">
        <v>1055</v>
      </c>
      <c r="F305" t="s">
        <v>2086</v>
      </c>
      <c r="G305">
        <v>12</v>
      </c>
      <c r="H305">
        <v>21</v>
      </c>
      <c r="I305">
        <v>-12.533099999999999</v>
      </c>
      <c r="J305">
        <v>304</v>
      </c>
      <c r="K305">
        <v>0.2155</v>
      </c>
      <c r="L305">
        <v>301</v>
      </c>
      <c r="M305">
        <v>105.413</v>
      </c>
      <c r="N305">
        <v>249</v>
      </c>
      <c r="O305">
        <v>105.73099999999999</v>
      </c>
      <c r="P305">
        <v>237</v>
      </c>
      <c r="Q305">
        <v>117.946</v>
      </c>
      <c r="R305">
        <v>329</v>
      </c>
      <c r="S305">
        <v>117.4</v>
      </c>
      <c r="T305">
        <v>345</v>
      </c>
      <c r="U305">
        <v>67.885400000000004</v>
      </c>
      <c r="V305">
        <v>210</v>
      </c>
      <c r="W305">
        <v>66.688699999999997</v>
      </c>
      <c r="X305">
        <v>220</v>
      </c>
      <c r="Y305">
        <v>8.3000000000000001E-3</v>
      </c>
      <c r="Z305">
        <v>168</v>
      </c>
      <c r="AA305">
        <v>-3.8871000000000002</v>
      </c>
      <c r="AB305">
        <v>243</v>
      </c>
      <c r="AC305">
        <v>108.667</v>
      </c>
      <c r="AD305">
        <v>190</v>
      </c>
      <c r="AE305">
        <v>112.554</v>
      </c>
      <c r="AF305">
        <v>295</v>
      </c>
      <c r="AG305">
        <v>4.7786999999999997</v>
      </c>
      <c r="AH305">
        <v>74</v>
      </c>
      <c r="AJ305">
        <v>18.13</v>
      </c>
      <c r="AK305">
        <v>248</v>
      </c>
      <c r="AL305">
        <v>17.13</v>
      </c>
      <c r="AM305">
        <v>86</v>
      </c>
      <c r="AN305">
        <v>17.940000000000001</v>
      </c>
      <c r="AO305">
        <v>8</v>
      </c>
      <c r="AP305">
        <v>17.3</v>
      </c>
      <c r="AQ305">
        <v>4</v>
      </c>
    </row>
    <row r="306" spans="1:43" x14ac:dyDescent="0.2">
      <c r="A306" t="s">
        <v>1782</v>
      </c>
      <c r="B306">
        <v>2026</v>
      </c>
      <c r="C306" t="s">
        <v>697</v>
      </c>
      <c r="D306">
        <v>0</v>
      </c>
      <c r="E306" t="s">
        <v>1055</v>
      </c>
      <c r="F306" t="s">
        <v>2087</v>
      </c>
      <c r="G306">
        <v>15</v>
      </c>
      <c r="H306">
        <v>17</v>
      </c>
      <c r="I306">
        <v>-12.551600000000001</v>
      </c>
      <c r="J306">
        <v>305</v>
      </c>
      <c r="K306">
        <v>0.2079</v>
      </c>
      <c r="L306">
        <v>305</v>
      </c>
      <c r="M306">
        <v>101.742</v>
      </c>
      <c r="N306">
        <v>307</v>
      </c>
      <c r="O306">
        <v>105.98699999999999</v>
      </c>
      <c r="P306">
        <v>230</v>
      </c>
      <c r="Q306">
        <v>114.294</v>
      </c>
      <c r="R306">
        <v>277</v>
      </c>
      <c r="S306">
        <v>113.44499999999999</v>
      </c>
      <c r="T306">
        <v>299</v>
      </c>
      <c r="U306">
        <v>70.174099999999996</v>
      </c>
      <c r="V306">
        <v>86</v>
      </c>
      <c r="W306">
        <v>69.197199999999995</v>
      </c>
      <c r="X306">
        <v>84</v>
      </c>
      <c r="Y306">
        <v>7.2499999999999995E-2</v>
      </c>
      <c r="Z306">
        <v>29</v>
      </c>
      <c r="AA306">
        <v>-6.7004999999999999</v>
      </c>
      <c r="AB306">
        <v>295</v>
      </c>
      <c r="AC306">
        <v>108.738</v>
      </c>
      <c r="AD306">
        <v>185</v>
      </c>
      <c r="AE306">
        <v>115.43899999999999</v>
      </c>
      <c r="AF306">
        <v>362</v>
      </c>
      <c r="AG306">
        <v>0.24629999999999999</v>
      </c>
      <c r="AH306">
        <v>179</v>
      </c>
      <c r="AJ306">
        <v>17.46</v>
      </c>
      <c r="AK306">
        <v>170</v>
      </c>
      <c r="AL306">
        <v>16.61</v>
      </c>
      <c r="AM306">
        <v>18</v>
      </c>
      <c r="AN306">
        <v>17.440000000000001</v>
      </c>
      <c r="AO306">
        <v>7</v>
      </c>
      <c r="AP306">
        <v>17.32</v>
      </c>
      <c r="AQ306">
        <v>5</v>
      </c>
    </row>
    <row r="307" spans="1:43" x14ac:dyDescent="0.2">
      <c r="A307" t="s">
        <v>1782</v>
      </c>
      <c r="B307">
        <v>2026</v>
      </c>
      <c r="C307" t="s">
        <v>687</v>
      </c>
      <c r="D307">
        <v>0</v>
      </c>
      <c r="E307" t="s">
        <v>1123</v>
      </c>
      <c r="F307" t="s">
        <v>2088</v>
      </c>
      <c r="G307">
        <v>14</v>
      </c>
      <c r="H307">
        <v>17</v>
      </c>
      <c r="I307">
        <v>-12.690099999999999</v>
      </c>
      <c r="J307">
        <v>306</v>
      </c>
      <c r="K307">
        <v>0.20749999999999999</v>
      </c>
      <c r="L307">
        <v>306</v>
      </c>
      <c r="M307">
        <v>102.68</v>
      </c>
      <c r="N307">
        <v>292</v>
      </c>
      <c r="O307">
        <v>104.789</v>
      </c>
      <c r="P307">
        <v>256</v>
      </c>
      <c r="Q307">
        <v>115.37</v>
      </c>
      <c r="R307">
        <v>297</v>
      </c>
      <c r="S307">
        <v>109.236</v>
      </c>
      <c r="T307">
        <v>203</v>
      </c>
      <c r="U307">
        <v>65.272499999999994</v>
      </c>
      <c r="V307">
        <v>325</v>
      </c>
      <c r="W307">
        <v>65.466999999999999</v>
      </c>
      <c r="X307">
        <v>288</v>
      </c>
      <c r="Y307">
        <v>-1.1000000000000001E-3</v>
      </c>
      <c r="Z307">
        <v>191</v>
      </c>
      <c r="AA307">
        <v>-9.0337999999999994</v>
      </c>
      <c r="AB307">
        <v>337</v>
      </c>
      <c r="AC307">
        <v>103.364</v>
      </c>
      <c r="AD307">
        <v>345</v>
      </c>
      <c r="AE307">
        <v>112.39700000000001</v>
      </c>
      <c r="AF307">
        <v>289</v>
      </c>
      <c r="AG307">
        <v>6.2801999999999998</v>
      </c>
      <c r="AH307">
        <v>49</v>
      </c>
      <c r="AJ307">
        <v>18.489999999999998</v>
      </c>
      <c r="AK307">
        <v>292</v>
      </c>
      <c r="AL307">
        <v>18.18</v>
      </c>
      <c r="AM307">
        <v>311</v>
      </c>
      <c r="AN307">
        <v>18.71</v>
      </c>
      <c r="AO307">
        <v>6</v>
      </c>
      <c r="AP307">
        <v>18.670000000000002</v>
      </c>
      <c r="AQ307">
        <v>9</v>
      </c>
    </row>
    <row r="308" spans="1:43" x14ac:dyDescent="0.2">
      <c r="A308" t="s">
        <v>1782</v>
      </c>
      <c r="B308">
        <v>2026</v>
      </c>
      <c r="C308" t="s">
        <v>93</v>
      </c>
      <c r="D308">
        <v>0</v>
      </c>
      <c r="E308" t="s">
        <v>1123</v>
      </c>
      <c r="F308" t="s">
        <v>2089</v>
      </c>
      <c r="G308">
        <v>18</v>
      </c>
      <c r="H308">
        <v>12</v>
      </c>
      <c r="I308">
        <v>-12.6937</v>
      </c>
      <c r="J308">
        <v>307</v>
      </c>
      <c r="K308">
        <v>0.2117</v>
      </c>
      <c r="L308">
        <v>302</v>
      </c>
      <c r="M308">
        <v>104.83199999999999</v>
      </c>
      <c r="N308">
        <v>260</v>
      </c>
      <c r="O308">
        <v>107.72499999999999</v>
      </c>
      <c r="P308">
        <v>191</v>
      </c>
      <c r="Q308">
        <v>117.52500000000001</v>
      </c>
      <c r="R308">
        <v>327</v>
      </c>
      <c r="S308">
        <v>109.839</v>
      </c>
      <c r="T308">
        <v>217</v>
      </c>
      <c r="U308">
        <v>65.188999999999993</v>
      </c>
      <c r="V308">
        <v>328</v>
      </c>
      <c r="W308">
        <v>65.070400000000006</v>
      </c>
      <c r="X308">
        <v>305</v>
      </c>
      <c r="Y308">
        <v>0.11650000000000001</v>
      </c>
      <c r="Z308">
        <v>7</v>
      </c>
      <c r="AA308">
        <v>-11.120200000000001</v>
      </c>
      <c r="AB308">
        <v>357</v>
      </c>
      <c r="AC308">
        <v>102.29</v>
      </c>
      <c r="AD308">
        <v>359</v>
      </c>
      <c r="AE308">
        <v>113.41</v>
      </c>
      <c r="AF308">
        <v>333</v>
      </c>
      <c r="AG308">
        <v>-1.9742999999999999</v>
      </c>
      <c r="AH308">
        <v>240</v>
      </c>
      <c r="AJ308">
        <v>18.36</v>
      </c>
      <c r="AK308">
        <v>272</v>
      </c>
      <c r="AL308">
        <v>18.27</v>
      </c>
      <c r="AM308">
        <v>333</v>
      </c>
      <c r="AN308">
        <v>18.21</v>
      </c>
      <c r="AO308">
        <v>4</v>
      </c>
      <c r="AP308">
        <v>18.829999999999998</v>
      </c>
      <c r="AQ308">
        <v>10</v>
      </c>
    </row>
    <row r="309" spans="1:43" x14ac:dyDescent="0.2">
      <c r="A309" t="s">
        <v>1782</v>
      </c>
      <c r="B309">
        <v>2026</v>
      </c>
      <c r="C309" t="s">
        <v>171</v>
      </c>
      <c r="D309">
        <v>0</v>
      </c>
      <c r="E309" t="s">
        <v>959</v>
      </c>
      <c r="F309" t="s">
        <v>2090</v>
      </c>
      <c r="G309">
        <v>7</v>
      </c>
      <c r="H309">
        <v>25</v>
      </c>
      <c r="I309">
        <v>-12.855499999999999</v>
      </c>
      <c r="J309">
        <v>308</v>
      </c>
      <c r="K309">
        <v>0.20349999999999999</v>
      </c>
      <c r="L309">
        <v>309</v>
      </c>
      <c r="M309">
        <v>102.065</v>
      </c>
      <c r="N309">
        <v>303</v>
      </c>
      <c r="O309">
        <v>96.718999999999994</v>
      </c>
      <c r="P309">
        <v>348</v>
      </c>
      <c r="Q309">
        <v>114.92100000000001</v>
      </c>
      <c r="R309">
        <v>290</v>
      </c>
      <c r="S309">
        <v>115.471</v>
      </c>
      <c r="T309">
        <v>328</v>
      </c>
      <c r="U309">
        <v>67.403400000000005</v>
      </c>
      <c r="V309">
        <v>226</v>
      </c>
      <c r="W309">
        <v>66.983199999999997</v>
      </c>
      <c r="X309">
        <v>200</v>
      </c>
      <c r="Y309">
        <v>-1.14E-2</v>
      </c>
      <c r="Z309">
        <v>216</v>
      </c>
      <c r="AA309">
        <v>4.4884000000000004</v>
      </c>
      <c r="AB309">
        <v>96</v>
      </c>
      <c r="AC309">
        <v>110.94</v>
      </c>
      <c r="AD309">
        <v>102</v>
      </c>
      <c r="AE309">
        <v>106.452</v>
      </c>
      <c r="AF309">
        <v>88</v>
      </c>
      <c r="AG309">
        <v>3.5962999999999998</v>
      </c>
      <c r="AH309">
        <v>93</v>
      </c>
      <c r="AJ309">
        <v>18.760000000000002</v>
      </c>
      <c r="AK309">
        <v>313</v>
      </c>
      <c r="AL309">
        <v>16.940000000000001</v>
      </c>
      <c r="AM309">
        <v>57</v>
      </c>
      <c r="AN309">
        <v>19.010000000000002</v>
      </c>
      <c r="AO309">
        <v>11</v>
      </c>
      <c r="AP309">
        <v>16.8</v>
      </c>
      <c r="AQ309">
        <v>1</v>
      </c>
    </row>
    <row r="310" spans="1:43" x14ac:dyDescent="0.2">
      <c r="A310" t="s">
        <v>1782</v>
      </c>
      <c r="B310">
        <v>2026</v>
      </c>
      <c r="C310" t="s">
        <v>451</v>
      </c>
      <c r="D310">
        <v>0</v>
      </c>
      <c r="E310" t="s">
        <v>1006</v>
      </c>
      <c r="F310" t="s">
        <v>2091</v>
      </c>
      <c r="G310">
        <v>10</v>
      </c>
      <c r="H310">
        <v>23</v>
      </c>
      <c r="I310">
        <v>-12.874599999999999</v>
      </c>
      <c r="J310">
        <v>309</v>
      </c>
      <c r="K310">
        <v>0.20349999999999999</v>
      </c>
      <c r="L310">
        <v>310</v>
      </c>
      <c r="M310">
        <v>102.19</v>
      </c>
      <c r="N310">
        <v>300</v>
      </c>
      <c r="O310">
        <v>102.956</v>
      </c>
      <c r="P310">
        <v>288</v>
      </c>
      <c r="Q310">
        <v>115.065</v>
      </c>
      <c r="R310">
        <v>292</v>
      </c>
      <c r="S310">
        <v>114.51</v>
      </c>
      <c r="T310">
        <v>317</v>
      </c>
      <c r="U310">
        <v>69.227000000000004</v>
      </c>
      <c r="V310">
        <v>136</v>
      </c>
      <c r="W310">
        <v>67.731800000000007</v>
      </c>
      <c r="X310">
        <v>158</v>
      </c>
      <c r="Y310">
        <v>-5.4800000000000001E-2</v>
      </c>
      <c r="Z310">
        <v>316</v>
      </c>
      <c r="AA310">
        <v>-1.7347999999999999</v>
      </c>
      <c r="AB310">
        <v>196</v>
      </c>
      <c r="AC310">
        <v>109.758</v>
      </c>
      <c r="AD310">
        <v>134</v>
      </c>
      <c r="AE310">
        <v>111.49299999999999</v>
      </c>
      <c r="AF310">
        <v>239</v>
      </c>
      <c r="AG310">
        <v>5.5385999999999997</v>
      </c>
      <c r="AH310">
        <v>60</v>
      </c>
      <c r="AJ310">
        <v>17.149999999999999</v>
      </c>
      <c r="AK310">
        <v>128</v>
      </c>
      <c r="AL310">
        <v>17.43</v>
      </c>
      <c r="AM310">
        <v>157</v>
      </c>
      <c r="AN310">
        <v>17.18</v>
      </c>
      <c r="AO310">
        <v>3</v>
      </c>
      <c r="AP310">
        <v>17.78</v>
      </c>
      <c r="AQ310">
        <v>7</v>
      </c>
    </row>
    <row r="311" spans="1:43" x14ac:dyDescent="0.2">
      <c r="A311" t="s">
        <v>1782</v>
      </c>
      <c r="B311">
        <v>2026</v>
      </c>
      <c r="C311" t="s">
        <v>31</v>
      </c>
      <c r="D311">
        <v>0</v>
      </c>
      <c r="E311" t="s">
        <v>1093</v>
      </c>
      <c r="F311" t="s">
        <v>2092</v>
      </c>
      <c r="G311">
        <v>12</v>
      </c>
      <c r="H311">
        <v>20</v>
      </c>
      <c r="I311">
        <v>-12.9551</v>
      </c>
      <c r="J311">
        <v>310</v>
      </c>
      <c r="K311">
        <v>0.20369999999999999</v>
      </c>
      <c r="L311">
        <v>308</v>
      </c>
      <c r="M311">
        <v>102.91</v>
      </c>
      <c r="N311">
        <v>288</v>
      </c>
      <c r="O311">
        <v>102.13</v>
      </c>
      <c r="P311">
        <v>304</v>
      </c>
      <c r="Q311">
        <v>115.86499999999999</v>
      </c>
      <c r="R311">
        <v>302</v>
      </c>
      <c r="S311">
        <v>109.824</v>
      </c>
      <c r="T311">
        <v>216</v>
      </c>
      <c r="U311">
        <v>67.596299999999999</v>
      </c>
      <c r="V311">
        <v>217</v>
      </c>
      <c r="W311">
        <v>66.665700000000001</v>
      </c>
      <c r="X311">
        <v>224</v>
      </c>
      <c r="Y311">
        <v>-3.27E-2</v>
      </c>
      <c r="Z311">
        <v>278</v>
      </c>
      <c r="AA311">
        <v>-6.4709000000000003</v>
      </c>
      <c r="AB311">
        <v>293</v>
      </c>
      <c r="AC311">
        <v>103.56399999999999</v>
      </c>
      <c r="AD311">
        <v>338</v>
      </c>
      <c r="AE311">
        <v>110.035</v>
      </c>
      <c r="AF311">
        <v>185</v>
      </c>
      <c r="AG311">
        <v>4.5940000000000003</v>
      </c>
      <c r="AH311">
        <v>77</v>
      </c>
      <c r="AJ311">
        <v>18.03</v>
      </c>
      <c r="AK311">
        <v>240</v>
      </c>
      <c r="AL311">
        <v>17.14</v>
      </c>
      <c r="AM311">
        <v>89</v>
      </c>
      <c r="AN311">
        <v>17.78</v>
      </c>
      <c r="AO311">
        <v>4</v>
      </c>
      <c r="AP311">
        <v>17.59</v>
      </c>
      <c r="AQ311">
        <v>4</v>
      </c>
    </row>
    <row r="312" spans="1:43" x14ac:dyDescent="0.2">
      <c r="A312" t="s">
        <v>1782</v>
      </c>
      <c r="B312">
        <v>2026</v>
      </c>
      <c r="C312" t="s">
        <v>207</v>
      </c>
      <c r="D312">
        <v>0</v>
      </c>
      <c r="E312" t="s">
        <v>1045</v>
      </c>
      <c r="F312" t="s">
        <v>2093</v>
      </c>
      <c r="G312">
        <v>10</v>
      </c>
      <c r="H312">
        <v>22</v>
      </c>
      <c r="I312">
        <v>-12.9772</v>
      </c>
      <c r="J312">
        <v>311</v>
      </c>
      <c r="K312">
        <v>0.19620000000000001</v>
      </c>
      <c r="L312">
        <v>313</v>
      </c>
      <c r="M312">
        <v>99.465299999999999</v>
      </c>
      <c r="N312">
        <v>335</v>
      </c>
      <c r="O312">
        <v>99.4328</v>
      </c>
      <c r="P312">
        <v>334</v>
      </c>
      <c r="Q312">
        <v>112.443</v>
      </c>
      <c r="R312">
        <v>243</v>
      </c>
      <c r="S312">
        <v>109.282</v>
      </c>
      <c r="T312">
        <v>205</v>
      </c>
      <c r="U312">
        <v>68.785600000000002</v>
      </c>
      <c r="V312">
        <v>161</v>
      </c>
      <c r="W312">
        <v>67.834999999999994</v>
      </c>
      <c r="X312">
        <v>151</v>
      </c>
      <c r="Y312">
        <v>-3.9600000000000003E-2</v>
      </c>
      <c r="Z312">
        <v>294</v>
      </c>
      <c r="AA312">
        <v>-4.0579999999999998</v>
      </c>
      <c r="AB312">
        <v>247</v>
      </c>
      <c r="AC312">
        <v>107.20099999999999</v>
      </c>
      <c r="AD312">
        <v>266</v>
      </c>
      <c r="AE312">
        <v>111.259</v>
      </c>
      <c r="AF312">
        <v>232</v>
      </c>
      <c r="AG312">
        <v>-0.4945</v>
      </c>
      <c r="AH312">
        <v>197</v>
      </c>
      <c r="AJ312">
        <v>17.559999999999999</v>
      </c>
      <c r="AK312">
        <v>179</v>
      </c>
      <c r="AL312">
        <v>17.190000000000001</v>
      </c>
      <c r="AM312">
        <v>101</v>
      </c>
      <c r="AN312">
        <v>17.96</v>
      </c>
      <c r="AO312">
        <v>9</v>
      </c>
      <c r="AP312">
        <v>17.510000000000002</v>
      </c>
      <c r="AQ312">
        <v>6</v>
      </c>
    </row>
    <row r="313" spans="1:43" x14ac:dyDescent="0.2">
      <c r="A313" t="s">
        <v>1782</v>
      </c>
      <c r="B313">
        <v>2026</v>
      </c>
      <c r="C313" t="s">
        <v>179</v>
      </c>
      <c r="D313">
        <v>0</v>
      </c>
      <c r="E313" t="s">
        <v>1154</v>
      </c>
      <c r="F313" t="s">
        <v>2094</v>
      </c>
      <c r="G313">
        <v>15</v>
      </c>
      <c r="H313">
        <v>15</v>
      </c>
      <c r="I313">
        <v>-13.020099999999999</v>
      </c>
      <c r="J313">
        <v>312</v>
      </c>
      <c r="K313">
        <v>0.19289999999999999</v>
      </c>
      <c r="L313">
        <v>317</v>
      </c>
      <c r="M313">
        <v>98.234099999999998</v>
      </c>
      <c r="N313">
        <v>341</v>
      </c>
      <c r="O313">
        <v>99.373900000000006</v>
      </c>
      <c r="P313">
        <v>335</v>
      </c>
      <c r="Q313">
        <v>111.254</v>
      </c>
      <c r="R313">
        <v>214</v>
      </c>
      <c r="S313">
        <v>105.99</v>
      </c>
      <c r="T313">
        <v>109</v>
      </c>
      <c r="U313">
        <v>70.2637</v>
      </c>
      <c r="V313">
        <v>83</v>
      </c>
      <c r="W313">
        <v>68.174999999999997</v>
      </c>
      <c r="X313">
        <v>134</v>
      </c>
      <c r="Y313">
        <v>8.6699999999999999E-2</v>
      </c>
      <c r="Z313">
        <v>20</v>
      </c>
      <c r="AA313">
        <v>-8.8987999999999996</v>
      </c>
      <c r="AB313">
        <v>335</v>
      </c>
      <c r="AC313">
        <v>103.959</v>
      </c>
      <c r="AD313">
        <v>327</v>
      </c>
      <c r="AE313">
        <v>112.857</v>
      </c>
      <c r="AF313">
        <v>308</v>
      </c>
      <c r="AG313">
        <v>7.6616999999999997</v>
      </c>
      <c r="AH313">
        <v>37</v>
      </c>
      <c r="AJ313">
        <v>17.420000000000002</v>
      </c>
      <c r="AK313">
        <v>159</v>
      </c>
      <c r="AL313">
        <v>16.57</v>
      </c>
      <c r="AM313">
        <v>15</v>
      </c>
      <c r="AN313">
        <v>17.809999999999999</v>
      </c>
      <c r="AO313">
        <v>10</v>
      </c>
      <c r="AP313">
        <v>16.89</v>
      </c>
      <c r="AQ313">
        <v>4</v>
      </c>
    </row>
    <row r="314" spans="1:43" x14ac:dyDescent="0.2">
      <c r="A314" t="s">
        <v>1782</v>
      </c>
      <c r="B314">
        <v>2026</v>
      </c>
      <c r="C314" t="s">
        <v>307</v>
      </c>
      <c r="D314">
        <v>0</v>
      </c>
      <c r="E314" t="s">
        <v>1045</v>
      </c>
      <c r="F314" t="s">
        <v>2095</v>
      </c>
      <c r="G314">
        <v>11</v>
      </c>
      <c r="H314">
        <v>22</v>
      </c>
      <c r="I314">
        <v>-13.273400000000001</v>
      </c>
      <c r="J314">
        <v>313</v>
      </c>
      <c r="K314">
        <v>0.19320000000000001</v>
      </c>
      <c r="L314">
        <v>316</v>
      </c>
      <c r="M314">
        <v>100.279</v>
      </c>
      <c r="N314">
        <v>321</v>
      </c>
      <c r="O314">
        <v>99.529300000000006</v>
      </c>
      <c r="P314">
        <v>332</v>
      </c>
      <c r="Q314">
        <v>113.55200000000001</v>
      </c>
      <c r="R314">
        <v>263</v>
      </c>
      <c r="S314">
        <v>110.038</v>
      </c>
      <c r="T314">
        <v>220</v>
      </c>
      <c r="U314">
        <v>64.084100000000007</v>
      </c>
      <c r="V314">
        <v>352</v>
      </c>
      <c r="W314">
        <v>63.238100000000003</v>
      </c>
      <c r="X314">
        <v>353</v>
      </c>
      <c r="Y314">
        <v>3.2800000000000003E-2</v>
      </c>
      <c r="Z314">
        <v>105</v>
      </c>
      <c r="AA314">
        <v>-4.5460000000000003</v>
      </c>
      <c r="AB314">
        <v>256</v>
      </c>
      <c r="AC314">
        <v>106.50700000000001</v>
      </c>
      <c r="AD314">
        <v>282</v>
      </c>
      <c r="AE314">
        <v>111.053</v>
      </c>
      <c r="AF314">
        <v>224</v>
      </c>
      <c r="AG314">
        <v>-1.9436</v>
      </c>
      <c r="AH314">
        <v>238</v>
      </c>
      <c r="AJ314">
        <v>19.36</v>
      </c>
      <c r="AK314">
        <v>352</v>
      </c>
      <c r="AL314">
        <v>18.03</v>
      </c>
      <c r="AM314">
        <v>297</v>
      </c>
      <c r="AN314">
        <v>19.190000000000001</v>
      </c>
      <c r="AO314">
        <v>12</v>
      </c>
      <c r="AP314">
        <v>18.3</v>
      </c>
      <c r="AQ314">
        <v>12</v>
      </c>
    </row>
    <row r="315" spans="1:43" x14ac:dyDescent="0.2">
      <c r="A315" t="s">
        <v>1782</v>
      </c>
      <c r="B315">
        <v>2026</v>
      </c>
      <c r="C315" t="s">
        <v>593</v>
      </c>
      <c r="D315">
        <v>0</v>
      </c>
      <c r="E315" t="s">
        <v>1093</v>
      </c>
      <c r="F315" t="s">
        <v>2096</v>
      </c>
      <c r="G315">
        <v>13</v>
      </c>
      <c r="H315">
        <v>18</v>
      </c>
      <c r="I315">
        <v>-13.334099999999999</v>
      </c>
      <c r="J315">
        <v>314</v>
      </c>
      <c r="K315">
        <v>0.1971</v>
      </c>
      <c r="L315">
        <v>312</v>
      </c>
      <c r="M315">
        <v>102.66500000000001</v>
      </c>
      <c r="N315">
        <v>293</v>
      </c>
      <c r="O315">
        <v>103.111</v>
      </c>
      <c r="P315">
        <v>286</v>
      </c>
      <c r="Q315">
        <v>115.999</v>
      </c>
      <c r="R315">
        <v>305</v>
      </c>
      <c r="S315">
        <v>110.298</v>
      </c>
      <c r="T315">
        <v>227</v>
      </c>
      <c r="U315">
        <v>68.283900000000003</v>
      </c>
      <c r="V315">
        <v>188</v>
      </c>
      <c r="W315">
        <v>66.835599999999999</v>
      </c>
      <c r="X315">
        <v>213</v>
      </c>
      <c r="Y315">
        <v>-2.76E-2</v>
      </c>
      <c r="Z315">
        <v>260</v>
      </c>
      <c r="AA315">
        <v>-7.6391999999999998</v>
      </c>
      <c r="AB315">
        <v>311</v>
      </c>
      <c r="AC315">
        <v>103.587</v>
      </c>
      <c r="AD315">
        <v>337</v>
      </c>
      <c r="AE315">
        <v>111.226</v>
      </c>
      <c r="AF315">
        <v>231</v>
      </c>
      <c r="AG315">
        <v>2.9228000000000001</v>
      </c>
      <c r="AH315">
        <v>105</v>
      </c>
      <c r="AJ315">
        <v>17.68</v>
      </c>
      <c r="AK315">
        <v>194</v>
      </c>
      <c r="AL315">
        <v>17.34</v>
      </c>
      <c r="AM315">
        <v>136</v>
      </c>
      <c r="AN315">
        <v>18.39</v>
      </c>
      <c r="AO315">
        <v>7</v>
      </c>
      <c r="AP315">
        <v>17.940000000000001</v>
      </c>
      <c r="AQ315">
        <v>8</v>
      </c>
    </row>
    <row r="316" spans="1:43" x14ac:dyDescent="0.2">
      <c r="A316" t="s">
        <v>1782</v>
      </c>
      <c r="B316">
        <v>2026</v>
      </c>
      <c r="C316" t="s">
        <v>33</v>
      </c>
      <c r="D316">
        <v>0</v>
      </c>
      <c r="E316" t="s">
        <v>1154</v>
      </c>
      <c r="F316" t="s">
        <v>2097</v>
      </c>
      <c r="G316">
        <v>13</v>
      </c>
      <c r="H316">
        <v>19</v>
      </c>
      <c r="I316">
        <v>-13.360900000000001</v>
      </c>
      <c r="J316">
        <v>315</v>
      </c>
      <c r="K316">
        <v>0.1996</v>
      </c>
      <c r="L316">
        <v>311</v>
      </c>
      <c r="M316">
        <v>104.09399999999999</v>
      </c>
      <c r="N316">
        <v>272</v>
      </c>
      <c r="O316">
        <v>104.075</v>
      </c>
      <c r="P316">
        <v>269</v>
      </c>
      <c r="Q316">
        <v>117.455</v>
      </c>
      <c r="R316">
        <v>326</v>
      </c>
      <c r="S316">
        <v>114.367</v>
      </c>
      <c r="T316">
        <v>315</v>
      </c>
      <c r="U316">
        <v>71.218299999999999</v>
      </c>
      <c r="V316">
        <v>47</v>
      </c>
      <c r="W316">
        <v>68.855000000000004</v>
      </c>
      <c r="X316">
        <v>101</v>
      </c>
      <c r="Y316">
        <v>2.5399999999999999E-2</v>
      </c>
      <c r="Z316">
        <v>120</v>
      </c>
      <c r="AA316">
        <v>-5.6398000000000001</v>
      </c>
      <c r="AB316">
        <v>275</v>
      </c>
      <c r="AC316">
        <v>105.947</v>
      </c>
      <c r="AD316">
        <v>292</v>
      </c>
      <c r="AE316">
        <v>111.587</v>
      </c>
      <c r="AF316">
        <v>241</v>
      </c>
      <c r="AG316">
        <v>14.455399999999999</v>
      </c>
      <c r="AH316">
        <v>4</v>
      </c>
      <c r="AJ316">
        <v>16.3</v>
      </c>
      <c r="AK316">
        <v>44</v>
      </c>
      <c r="AL316">
        <v>17.32</v>
      </c>
      <c r="AM316">
        <v>133</v>
      </c>
      <c r="AN316">
        <v>16.37</v>
      </c>
      <c r="AO316">
        <v>3</v>
      </c>
      <c r="AP316">
        <v>18.16</v>
      </c>
      <c r="AQ316">
        <v>12</v>
      </c>
    </row>
    <row r="317" spans="1:43" x14ac:dyDescent="0.2">
      <c r="A317" t="s">
        <v>1782</v>
      </c>
      <c r="B317">
        <v>2026</v>
      </c>
      <c r="C317" t="s">
        <v>603</v>
      </c>
      <c r="D317">
        <v>0</v>
      </c>
      <c r="E317" t="s">
        <v>1154</v>
      </c>
      <c r="F317" t="s">
        <v>2098</v>
      </c>
      <c r="G317">
        <v>12</v>
      </c>
      <c r="H317">
        <v>18</v>
      </c>
      <c r="I317">
        <v>-13.3909</v>
      </c>
      <c r="J317">
        <v>316</v>
      </c>
      <c r="K317">
        <v>0.19439999999999999</v>
      </c>
      <c r="L317">
        <v>314</v>
      </c>
      <c r="M317">
        <v>101.78400000000001</v>
      </c>
      <c r="N317">
        <v>306</v>
      </c>
      <c r="O317">
        <v>102.95399999999999</v>
      </c>
      <c r="P317">
        <v>289</v>
      </c>
      <c r="Q317">
        <v>115.175</v>
      </c>
      <c r="R317">
        <v>294</v>
      </c>
      <c r="S317">
        <v>111.008</v>
      </c>
      <c r="T317">
        <v>243</v>
      </c>
      <c r="U317">
        <v>70.633899999999997</v>
      </c>
      <c r="V317">
        <v>70</v>
      </c>
      <c r="W317">
        <v>68.711200000000005</v>
      </c>
      <c r="X317">
        <v>108</v>
      </c>
      <c r="Y317">
        <v>-3.2899999999999999E-2</v>
      </c>
      <c r="Z317">
        <v>280</v>
      </c>
      <c r="AA317">
        <v>-8.7005999999999997</v>
      </c>
      <c r="AB317">
        <v>331</v>
      </c>
      <c r="AC317">
        <v>104.029</v>
      </c>
      <c r="AD317">
        <v>324</v>
      </c>
      <c r="AE317">
        <v>112.729</v>
      </c>
      <c r="AF317">
        <v>302</v>
      </c>
      <c r="AG317">
        <v>12.388400000000001</v>
      </c>
      <c r="AH317">
        <v>11</v>
      </c>
      <c r="AJ317">
        <v>16.98</v>
      </c>
      <c r="AK317">
        <v>103</v>
      </c>
      <c r="AL317">
        <v>16.98</v>
      </c>
      <c r="AM317">
        <v>63</v>
      </c>
      <c r="AN317">
        <v>16.73</v>
      </c>
      <c r="AO317">
        <v>5</v>
      </c>
      <c r="AP317">
        <v>17.59</v>
      </c>
      <c r="AQ317">
        <v>10</v>
      </c>
    </row>
    <row r="318" spans="1:43" x14ac:dyDescent="0.2">
      <c r="A318" t="s">
        <v>1782</v>
      </c>
      <c r="B318">
        <v>2026</v>
      </c>
      <c r="C318" t="s">
        <v>237</v>
      </c>
      <c r="D318">
        <v>0</v>
      </c>
      <c r="E318" t="s">
        <v>1040</v>
      </c>
      <c r="F318" t="s">
        <v>2099</v>
      </c>
      <c r="G318">
        <v>7</v>
      </c>
      <c r="H318">
        <v>25</v>
      </c>
      <c r="I318">
        <v>-13.9117</v>
      </c>
      <c r="J318">
        <v>317</v>
      </c>
      <c r="K318">
        <v>0.19409999999999999</v>
      </c>
      <c r="L318">
        <v>315</v>
      </c>
      <c r="M318">
        <v>105.593</v>
      </c>
      <c r="N318">
        <v>244</v>
      </c>
      <c r="O318">
        <v>107.443</v>
      </c>
      <c r="P318">
        <v>199</v>
      </c>
      <c r="Q318">
        <v>119.505</v>
      </c>
      <c r="R318">
        <v>343</v>
      </c>
      <c r="S318">
        <v>118.53100000000001</v>
      </c>
      <c r="T318">
        <v>351</v>
      </c>
      <c r="U318">
        <v>74.9572</v>
      </c>
      <c r="V318">
        <v>4</v>
      </c>
      <c r="W318">
        <v>73.216899999999995</v>
      </c>
      <c r="X318">
        <v>3</v>
      </c>
      <c r="Y318">
        <v>-3.3399999999999999E-2</v>
      </c>
      <c r="Z318">
        <v>281</v>
      </c>
      <c r="AA318">
        <v>-3.4943</v>
      </c>
      <c r="AB318">
        <v>229</v>
      </c>
      <c r="AC318">
        <v>109.096</v>
      </c>
      <c r="AD318">
        <v>167</v>
      </c>
      <c r="AE318">
        <v>112.59</v>
      </c>
      <c r="AF318">
        <v>298</v>
      </c>
      <c r="AG318">
        <v>-1.0621</v>
      </c>
      <c r="AH318">
        <v>218</v>
      </c>
      <c r="AJ318">
        <v>15.82</v>
      </c>
      <c r="AK318">
        <v>20</v>
      </c>
      <c r="AL318">
        <v>16.23</v>
      </c>
      <c r="AM318">
        <v>5</v>
      </c>
      <c r="AN318">
        <v>16.73</v>
      </c>
      <c r="AO318">
        <v>2</v>
      </c>
      <c r="AP318">
        <v>16.95</v>
      </c>
      <c r="AQ318">
        <v>1</v>
      </c>
    </row>
    <row r="319" spans="1:43" x14ac:dyDescent="0.2">
      <c r="A319" t="s">
        <v>1782</v>
      </c>
      <c r="B319">
        <v>2026</v>
      </c>
      <c r="C319" t="s">
        <v>13</v>
      </c>
      <c r="D319">
        <v>0</v>
      </c>
      <c r="E319" t="s">
        <v>1154</v>
      </c>
      <c r="F319" t="s">
        <v>2100</v>
      </c>
      <c r="G319">
        <v>10</v>
      </c>
      <c r="H319">
        <v>22</v>
      </c>
      <c r="I319">
        <v>-14.407999999999999</v>
      </c>
      <c r="J319">
        <v>318</v>
      </c>
      <c r="K319">
        <v>0.17399999999999999</v>
      </c>
      <c r="L319">
        <v>323</v>
      </c>
      <c r="M319">
        <v>99.354299999999995</v>
      </c>
      <c r="N319">
        <v>336</v>
      </c>
      <c r="O319">
        <v>100.20699999999999</v>
      </c>
      <c r="P319">
        <v>323</v>
      </c>
      <c r="Q319">
        <v>113.762</v>
      </c>
      <c r="R319">
        <v>266</v>
      </c>
      <c r="S319">
        <v>109.075</v>
      </c>
      <c r="T319">
        <v>198</v>
      </c>
      <c r="U319">
        <v>71.257300000000001</v>
      </c>
      <c r="V319">
        <v>46</v>
      </c>
      <c r="W319">
        <v>69.488500000000002</v>
      </c>
      <c r="X319">
        <v>71</v>
      </c>
      <c r="Y319">
        <v>-7.1400000000000005E-2</v>
      </c>
      <c r="Z319">
        <v>335</v>
      </c>
      <c r="AA319">
        <v>-6.8259999999999996</v>
      </c>
      <c r="AB319">
        <v>297</v>
      </c>
      <c r="AC319">
        <v>104.30200000000001</v>
      </c>
      <c r="AD319">
        <v>316</v>
      </c>
      <c r="AE319">
        <v>111.128</v>
      </c>
      <c r="AF319">
        <v>226</v>
      </c>
      <c r="AG319">
        <v>8.1888000000000005</v>
      </c>
      <c r="AH319">
        <v>27</v>
      </c>
      <c r="AJ319">
        <v>16.78</v>
      </c>
      <c r="AK319">
        <v>82</v>
      </c>
      <c r="AL319">
        <v>16.91</v>
      </c>
      <c r="AM319">
        <v>47</v>
      </c>
      <c r="AN319">
        <v>16.57</v>
      </c>
      <c r="AO319">
        <v>4</v>
      </c>
      <c r="AP319">
        <v>17.059999999999999</v>
      </c>
      <c r="AQ319">
        <v>6</v>
      </c>
    </row>
    <row r="320" spans="1:43" x14ac:dyDescent="0.2">
      <c r="A320" t="s">
        <v>1782</v>
      </c>
      <c r="B320">
        <v>2026</v>
      </c>
      <c r="C320" t="s">
        <v>421</v>
      </c>
      <c r="D320">
        <v>0</v>
      </c>
      <c r="E320" t="s">
        <v>1031</v>
      </c>
      <c r="F320" t="s">
        <v>2101</v>
      </c>
      <c r="G320">
        <v>10</v>
      </c>
      <c r="H320">
        <v>22</v>
      </c>
      <c r="I320">
        <v>-14.445600000000001</v>
      </c>
      <c r="J320">
        <v>319</v>
      </c>
      <c r="K320">
        <v>0.1857</v>
      </c>
      <c r="L320">
        <v>319</v>
      </c>
      <c r="M320">
        <v>105.31100000000001</v>
      </c>
      <c r="N320">
        <v>254</v>
      </c>
      <c r="O320">
        <v>104.048</v>
      </c>
      <c r="P320">
        <v>271</v>
      </c>
      <c r="Q320">
        <v>119.75700000000001</v>
      </c>
      <c r="R320">
        <v>345</v>
      </c>
      <c r="S320">
        <v>118.863</v>
      </c>
      <c r="T320">
        <v>353</v>
      </c>
      <c r="U320">
        <v>65.509900000000002</v>
      </c>
      <c r="V320">
        <v>319</v>
      </c>
      <c r="W320">
        <v>63.810200000000002</v>
      </c>
      <c r="X320">
        <v>341</v>
      </c>
      <c r="Y320">
        <v>3.0599999999999999E-2</v>
      </c>
      <c r="Z320">
        <v>107</v>
      </c>
      <c r="AA320">
        <v>-1.0650999999999999</v>
      </c>
      <c r="AB320">
        <v>177</v>
      </c>
      <c r="AC320">
        <v>109.542</v>
      </c>
      <c r="AD320">
        <v>147</v>
      </c>
      <c r="AE320">
        <v>110.607</v>
      </c>
      <c r="AF320">
        <v>206</v>
      </c>
      <c r="AG320">
        <v>0.13869999999999999</v>
      </c>
      <c r="AH320">
        <v>181</v>
      </c>
      <c r="AJ320">
        <v>18.59</v>
      </c>
      <c r="AK320">
        <v>301</v>
      </c>
      <c r="AL320">
        <v>17.78</v>
      </c>
      <c r="AM320">
        <v>244</v>
      </c>
      <c r="AN320">
        <v>19.25</v>
      </c>
      <c r="AO320">
        <v>10</v>
      </c>
      <c r="AP320">
        <v>18.18</v>
      </c>
      <c r="AQ320">
        <v>9</v>
      </c>
    </row>
    <row r="321" spans="1:43" x14ac:dyDescent="0.2">
      <c r="A321" t="s">
        <v>1782</v>
      </c>
      <c r="B321">
        <v>2026</v>
      </c>
      <c r="C321" t="s">
        <v>111</v>
      </c>
      <c r="D321">
        <v>0</v>
      </c>
      <c r="E321" t="s">
        <v>1040</v>
      </c>
      <c r="F321" t="s">
        <v>2102</v>
      </c>
      <c r="G321">
        <v>11</v>
      </c>
      <c r="H321">
        <v>22</v>
      </c>
      <c r="I321">
        <v>-14.6265</v>
      </c>
      <c r="J321">
        <v>320</v>
      </c>
      <c r="K321">
        <v>0.1913</v>
      </c>
      <c r="L321">
        <v>318</v>
      </c>
      <c r="M321">
        <v>109.544</v>
      </c>
      <c r="N321">
        <v>166</v>
      </c>
      <c r="O321">
        <v>110.078</v>
      </c>
      <c r="P321">
        <v>138</v>
      </c>
      <c r="Q321">
        <v>124.17</v>
      </c>
      <c r="R321">
        <v>362</v>
      </c>
      <c r="S321">
        <v>124.40600000000001</v>
      </c>
      <c r="T321">
        <v>364</v>
      </c>
      <c r="U321">
        <v>71.375399999999999</v>
      </c>
      <c r="V321">
        <v>41</v>
      </c>
      <c r="W321">
        <v>69.756500000000003</v>
      </c>
      <c r="X321">
        <v>59</v>
      </c>
      <c r="Y321">
        <v>4.0099999999999997E-2</v>
      </c>
      <c r="Z321">
        <v>86</v>
      </c>
      <c r="AA321">
        <v>-1.9771000000000001</v>
      </c>
      <c r="AB321">
        <v>204</v>
      </c>
      <c r="AC321">
        <v>109.935</v>
      </c>
      <c r="AD321">
        <v>126</v>
      </c>
      <c r="AE321">
        <v>111.913</v>
      </c>
      <c r="AF321">
        <v>266</v>
      </c>
      <c r="AG321">
        <v>4.3705999999999996</v>
      </c>
      <c r="AH321">
        <v>82</v>
      </c>
      <c r="AJ321">
        <v>16.68</v>
      </c>
      <c r="AK321">
        <v>73</v>
      </c>
      <c r="AL321">
        <v>17.100000000000001</v>
      </c>
      <c r="AM321">
        <v>81</v>
      </c>
      <c r="AN321">
        <v>17.010000000000002</v>
      </c>
      <c r="AO321">
        <v>5</v>
      </c>
      <c r="AP321">
        <v>17.690000000000001</v>
      </c>
      <c r="AQ321">
        <v>9</v>
      </c>
    </row>
    <row r="322" spans="1:43" x14ac:dyDescent="0.2">
      <c r="A322" t="s">
        <v>1782</v>
      </c>
      <c r="B322">
        <v>2026</v>
      </c>
      <c r="C322" t="s">
        <v>641</v>
      </c>
      <c r="D322">
        <v>0</v>
      </c>
      <c r="E322" t="s">
        <v>1101</v>
      </c>
      <c r="F322" t="s">
        <v>2103</v>
      </c>
      <c r="G322">
        <v>15</v>
      </c>
      <c r="H322">
        <v>18</v>
      </c>
      <c r="I322">
        <v>-14.640599999999999</v>
      </c>
      <c r="J322">
        <v>321</v>
      </c>
      <c r="K322">
        <v>0.1777</v>
      </c>
      <c r="L322">
        <v>321</v>
      </c>
      <c r="M322">
        <v>102.752</v>
      </c>
      <c r="N322">
        <v>291</v>
      </c>
      <c r="O322">
        <v>104.48699999999999</v>
      </c>
      <c r="P322">
        <v>262</v>
      </c>
      <c r="Q322">
        <v>117.393</v>
      </c>
      <c r="R322">
        <v>323</v>
      </c>
      <c r="S322">
        <v>112.381</v>
      </c>
      <c r="T322">
        <v>276</v>
      </c>
      <c r="U322">
        <v>68.879199999999997</v>
      </c>
      <c r="V322">
        <v>158</v>
      </c>
      <c r="W322">
        <v>69.170299999999997</v>
      </c>
      <c r="X322">
        <v>85</v>
      </c>
      <c r="Y322">
        <v>1.6799999999999999E-2</v>
      </c>
      <c r="Z322">
        <v>136</v>
      </c>
      <c r="AA322">
        <v>-9.1898999999999997</v>
      </c>
      <c r="AB322">
        <v>338</v>
      </c>
      <c r="AC322">
        <v>103.79600000000001</v>
      </c>
      <c r="AD322">
        <v>330</v>
      </c>
      <c r="AE322">
        <v>112.986</v>
      </c>
      <c r="AF322">
        <v>312</v>
      </c>
      <c r="AG322">
        <v>2.1246999999999998</v>
      </c>
      <c r="AH322">
        <v>121</v>
      </c>
      <c r="AJ322">
        <v>17.690000000000001</v>
      </c>
      <c r="AK322">
        <v>195</v>
      </c>
      <c r="AL322">
        <v>17.13</v>
      </c>
      <c r="AM322">
        <v>87</v>
      </c>
      <c r="AN322">
        <v>17.670000000000002</v>
      </c>
      <c r="AO322">
        <v>5</v>
      </c>
      <c r="AP322">
        <v>17.79</v>
      </c>
      <c r="AQ322">
        <v>2</v>
      </c>
    </row>
    <row r="323" spans="1:43" x14ac:dyDescent="0.2">
      <c r="A323" t="s">
        <v>1782</v>
      </c>
      <c r="B323">
        <v>2026</v>
      </c>
      <c r="C323" t="s">
        <v>315</v>
      </c>
      <c r="D323">
        <v>0</v>
      </c>
      <c r="E323" t="s">
        <v>1043</v>
      </c>
      <c r="F323" t="s">
        <v>2104</v>
      </c>
      <c r="G323">
        <v>12</v>
      </c>
      <c r="H323">
        <v>20</v>
      </c>
      <c r="I323">
        <v>-14.829599999999999</v>
      </c>
      <c r="J323">
        <v>322</v>
      </c>
      <c r="K323">
        <v>0.17829999999999999</v>
      </c>
      <c r="L323">
        <v>320</v>
      </c>
      <c r="M323">
        <v>104.364</v>
      </c>
      <c r="N323">
        <v>266</v>
      </c>
      <c r="O323">
        <v>106.334</v>
      </c>
      <c r="P323">
        <v>224</v>
      </c>
      <c r="Q323">
        <v>119.194</v>
      </c>
      <c r="R323">
        <v>342</v>
      </c>
      <c r="S323">
        <v>113.447</v>
      </c>
      <c r="T323">
        <v>300</v>
      </c>
      <c r="U323">
        <v>68.139600000000002</v>
      </c>
      <c r="V323">
        <v>193</v>
      </c>
      <c r="W323">
        <v>68.212699999999998</v>
      </c>
      <c r="X323">
        <v>130</v>
      </c>
      <c r="Y323">
        <v>-2.75E-2</v>
      </c>
      <c r="Z323">
        <v>259</v>
      </c>
      <c r="AA323">
        <v>-9.2927999999999997</v>
      </c>
      <c r="AB323">
        <v>343</v>
      </c>
      <c r="AC323">
        <v>104.045</v>
      </c>
      <c r="AD323">
        <v>323</v>
      </c>
      <c r="AE323">
        <v>113.33799999999999</v>
      </c>
      <c r="AF323">
        <v>330</v>
      </c>
      <c r="AG323">
        <v>-6.8517999999999999</v>
      </c>
      <c r="AH323">
        <v>331</v>
      </c>
      <c r="AJ323">
        <v>17.53</v>
      </c>
      <c r="AK323">
        <v>176</v>
      </c>
      <c r="AL323">
        <v>17.39</v>
      </c>
      <c r="AM323">
        <v>152</v>
      </c>
      <c r="AN323">
        <v>17.64</v>
      </c>
      <c r="AO323">
        <v>2</v>
      </c>
      <c r="AP323">
        <v>17.64</v>
      </c>
      <c r="AQ323">
        <v>1</v>
      </c>
    </row>
    <row r="324" spans="1:43" x14ac:dyDescent="0.2">
      <c r="A324" t="s">
        <v>1782</v>
      </c>
      <c r="B324">
        <v>2026</v>
      </c>
      <c r="C324" t="s">
        <v>161</v>
      </c>
      <c r="D324">
        <v>0</v>
      </c>
      <c r="E324" t="s">
        <v>1093</v>
      </c>
      <c r="F324" t="s">
        <v>2105</v>
      </c>
      <c r="G324">
        <v>13</v>
      </c>
      <c r="H324">
        <v>20</v>
      </c>
      <c r="I324">
        <v>-14.8766</v>
      </c>
      <c r="J324">
        <v>323</v>
      </c>
      <c r="K324">
        <v>0.16239999999999999</v>
      </c>
      <c r="L324">
        <v>327</v>
      </c>
      <c r="M324">
        <v>97.015000000000001</v>
      </c>
      <c r="N324">
        <v>345</v>
      </c>
      <c r="O324">
        <v>96.459699999999998</v>
      </c>
      <c r="P324">
        <v>351</v>
      </c>
      <c r="Q324">
        <v>111.892</v>
      </c>
      <c r="R324">
        <v>228</v>
      </c>
      <c r="S324">
        <v>107.95</v>
      </c>
      <c r="T324">
        <v>165</v>
      </c>
      <c r="U324">
        <v>66.214500000000001</v>
      </c>
      <c r="V324">
        <v>287</v>
      </c>
      <c r="W324">
        <v>65.659300000000002</v>
      </c>
      <c r="X324">
        <v>274</v>
      </c>
      <c r="Y324">
        <v>3.6799999999999999E-2</v>
      </c>
      <c r="Z324">
        <v>97</v>
      </c>
      <c r="AA324">
        <v>-6.1524000000000001</v>
      </c>
      <c r="AB324">
        <v>288</v>
      </c>
      <c r="AC324">
        <v>104.688</v>
      </c>
      <c r="AD324">
        <v>309</v>
      </c>
      <c r="AE324">
        <v>110.84</v>
      </c>
      <c r="AF324">
        <v>214</v>
      </c>
      <c r="AG324">
        <v>12.3667</v>
      </c>
      <c r="AH324">
        <v>12</v>
      </c>
      <c r="AJ324">
        <v>18.350000000000001</v>
      </c>
      <c r="AK324">
        <v>271</v>
      </c>
      <c r="AL324">
        <v>17.61</v>
      </c>
      <c r="AM324">
        <v>201</v>
      </c>
      <c r="AN324">
        <v>18.16</v>
      </c>
      <c r="AO324">
        <v>5</v>
      </c>
      <c r="AP324">
        <v>17.89</v>
      </c>
      <c r="AQ324">
        <v>7</v>
      </c>
    </row>
    <row r="325" spans="1:43" x14ac:dyDescent="0.2">
      <c r="A325" t="s">
        <v>1782</v>
      </c>
      <c r="B325">
        <v>2026</v>
      </c>
      <c r="C325" t="s">
        <v>15</v>
      </c>
      <c r="D325">
        <v>0</v>
      </c>
      <c r="E325" t="s">
        <v>1101</v>
      </c>
      <c r="F325" t="s">
        <v>2106</v>
      </c>
      <c r="G325">
        <v>11</v>
      </c>
      <c r="H325">
        <v>21</v>
      </c>
      <c r="I325">
        <v>-14.923</v>
      </c>
      <c r="J325">
        <v>324</v>
      </c>
      <c r="K325">
        <v>0.17510000000000001</v>
      </c>
      <c r="L325">
        <v>322</v>
      </c>
      <c r="M325">
        <v>103.45099999999999</v>
      </c>
      <c r="N325">
        <v>282</v>
      </c>
      <c r="O325">
        <v>105.06399999999999</v>
      </c>
      <c r="P325">
        <v>251</v>
      </c>
      <c r="Q325">
        <v>118.374</v>
      </c>
      <c r="R325">
        <v>332</v>
      </c>
      <c r="S325">
        <v>113.107</v>
      </c>
      <c r="T325">
        <v>295</v>
      </c>
      <c r="U325">
        <v>65.638800000000003</v>
      </c>
      <c r="V325">
        <v>314</v>
      </c>
      <c r="W325">
        <v>65.2196</v>
      </c>
      <c r="X325">
        <v>295</v>
      </c>
      <c r="Y325">
        <v>-8.5900000000000004E-2</v>
      </c>
      <c r="Z325">
        <v>347</v>
      </c>
      <c r="AA325">
        <v>-7.3517999999999999</v>
      </c>
      <c r="AB325">
        <v>307</v>
      </c>
      <c r="AC325">
        <v>104.83799999999999</v>
      </c>
      <c r="AD325">
        <v>308</v>
      </c>
      <c r="AE325">
        <v>112.18899999999999</v>
      </c>
      <c r="AF325">
        <v>278</v>
      </c>
      <c r="AG325">
        <v>4.2699999999999996</v>
      </c>
      <c r="AH325">
        <v>83</v>
      </c>
      <c r="AJ325">
        <v>19.03</v>
      </c>
      <c r="AK325">
        <v>333</v>
      </c>
      <c r="AL325">
        <v>17.440000000000001</v>
      </c>
      <c r="AM325">
        <v>159</v>
      </c>
      <c r="AN325">
        <v>19.649999999999999</v>
      </c>
      <c r="AO325">
        <v>8</v>
      </c>
      <c r="AP325">
        <v>18.04</v>
      </c>
      <c r="AQ325">
        <v>4</v>
      </c>
    </row>
    <row r="326" spans="1:43" x14ac:dyDescent="0.2">
      <c r="A326" t="s">
        <v>1782</v>
      </c>
      <c r="B326">
        <v>2026</v>
      </c>
      <c r="C326" t="s">
        <v>285</v>
      </c>
      <c r="D326">
        <v>0</v>
      </c>
      <c r="E326" t="s">
        <v>1043</v>
      </c>
      <c r="F326" t="s">
        <v>2107</v>
      </c>
      <c r="G326">
        <v>11</v>
      </c>
      <c r="H326">
        <v>21</v>
      </c>
      <c r="I326">
        <v>-15.2172</v>
      </c>
      <c r="J326">
        <v>325</v>
      </c>
      <c r="K326">
        <v>0.1658</v>
      </c>
      <c r="L326">
        <v>325</v>
      </c>
      <c r="M326">
        <v>100.88200000000001</v>
      </c>
      <c r="N326">
        <v>315</v>
      </c>
      <c r="O326">
        <v>102.88800000000001</v>
      </c>
      <c r="P326">
        <v>292</v>
      </c>
      <c r="Q326">
        <v>116.099</v>
      </c>
      <c r="R326">
        <v>307</v>
      </c>
      <c r="S326">
        <v>112.05500000000001</v>
      </c>
      <c r="T326">
        <v>272</v>
      </c>
      <c r="U326">
        <v>66.917199999999994</v>
      </c>
      <c r="V326">
        <v>250</v>
      </c>
      <c r="W326">
        <v>66.756399999999999</v>
      </c>
      <c r="X326">
        <v>218</v>
      </c>
      <c r="Y326">
        <v>9.1000000000000004E-3</v>
      </c>
      <c r="Z326">
        <v>163</v>
      </c>
      <c r="AA326">
        <v>-7.6374000000000004</v>
      </c>
      <c r="AB326">
        <v>310</v>
      </c>
      <c r="AC326">
        <v>105.321</v>
      </c>
      <c r="AD326">
        <v>301</v>
      </c>
      <c r="AE326">
        <v>112.959</v>
      </c>
      <c r="AF326">
        <v>310</v>
      </c>
      <c r="AG326">
        <v>-0.77510000000000001</v>
      </c>
      <c r="AH326">
        <v>205</v>
      </c>
      <c r="AJ326">
        <v>18.16</v>
      </c>
      <c r="AK326">
        <v>251</v>
      </c>
      <c r="AL326">
        <v>17.66</v>
      </c>
      <c r="AM326">
        <v>217</v>
      </c>
      <c r="AN326">
        <v>18.28</v>
      </c>
      <c r="AO326">
        <v>6</v>
      </c>
      <c r="AP326">
        <v>18.079999999999998</v>
      </c>
      <c r="AQ326">
        <v>2</v>
      </c>
    </row>
    <row r="327" spans="1:43" x14ac:dyDescent="0.2">
      <c r="A327" t="s">
        <v>1782</v>
      </c>
      <c r="B327">
        <v>2026</v>
      </c>
      <c r="C327" t="s">
        <v>79</v>
      </c>
      <c r="D327">
        <v>0</v>
      </c>
      <c r="E327" t="s">
        <v>1001</v>
      </c>
      <c r="F327" t="s">
        <v>2108</v>
      </c>
      <c r="G327">
        <v>8</v>
      </c>
      <c r="H327">
        <v>24</v>
      </c>
      <c r="I327">
        <v>-15.279199999999999</v>
      </c>
      <c r="J327">
        <v>326</v>
      </c>
      <c r="K327">
        <v>0.16750000000000001</v>
      </c>
      <c r="L327">
        <v>324</v>
      </c>
      <c r="M327">
        <v>102.111</v>
      </c>
      <c r="N327">
        <v>302</v>
      </c>
      <c r="O327">
        <v>99.296599999999998</v>
      </c>
      <c r="P327">
        <v>336</v>
      </c>
      <c r="Q327">
        <v>117.39</v>
      </c>
      <c r="R327">
        <v>321</v>
      </c>
      <c r="S327">
        <v>114.658</v>
      </c>
      <c r="T327">
        <v>319</v>
      </c>
      <c r="U327">
        <v>72.628799999999998</v>
      </c>
      <c r="V327">
        <v>16</v>
      </c>
      <c r="W327">
        <v>70.074299999999994</v>
      </c>
      <c r="X327">
        <v>42</v>
      </c>
      <c r="Y327">
        <v>1.23E-2</v>
      </c>
      <c r="Z327">
        <v>149</v>
      </c>
      <c r="AA327">
        <v>0.4073</v>
      </c>
      <c r="AB327">
        <v>141</v>
      </c>
      <c r="AC327">
        <v>108.012</v>
      </c>
      <c r="AD327">
        <v>236</v>
      </c>
      <c r="AE327">
        <v>107.605</v>
      </c>
      <c r="AF327">
        <v>107</v>
      </c>
      <c r="AG327">
        <v>0.58420000000000005</v>
      </c>
      <c r="AH327">
        <v>166</v>
      </c>
      <c r="AJ327">
        <v>17.22</v>
      </c>
      <c r="AK327">
        <v>136</v>
      </c>
      <c r="AL327">
        <v>15.92</v>
      </c>
      <c r="AM327">
        <v>2</v>
      </c>
      <c r="AN327">
        <v>17.12</v>
      </c>
      <c r="AO327">
        <v>8</v>
      </c>
      <c r="AP327">
        <v>15.66</v>
      </c>
      <c r="AQ327">
        <v>1</v>
      </c>
    </row>
    <row r="328" spans="1:43" x14ac:dyDescent="0.2">
      <c r="A328" t="s">
        <v>1782</v>
      </c>
      <c r="B328">
        <v>2026</v>
      </c>
      <c r="C328" t="s">
        <v>401</v>
      </c>
      <c r="D328">
        <v>0</v>
      </c>
      <c r="E328" t="s">
        <v>1113</v>
      </c>
      <c r="F328" t="s">
        <v>2109</v>
      </c>
      <c r="G328">
        <v>15</v>
      </c>
      <c r="H328">
        <v>17</v>
      </c>
      <c r="I328">
        <v>-15.3833</v>
      </c>
      <c r="J328">
        <v>327</v>
      </c>
      <c r="K328">
        <v>0.1648</v>
      </c>
      <c r="L328">
        <v>326</v>
      </c>
      <c r="M328">
        <v>101.498</v>
      </c>
      <c r="N328">
        <v>308</v>
      </c>
      <c r="O328">
        <v>103.441</v>
      </c>
      <c r="P328">
        <v>280</v>
      </c>
      <c r="Q328">
        <v>116.88200000000001</v>
      </c>
      <c r="R328">
        <v>316</v>
      </c>
      <c r="S328">
        <v>107.771</v>
      </c>
      <c r="T328">
        <v>163</v>
      </c>
      <c r="U328">
        <v>69.125500000000002</v>
      </c>
      <c r="V328">
        <v>143</v>
      </c>
      <c r="W328">
        <v>68.199700000000007</v>
      </c>
      <c r="X328">
        <v>131</v>
      </c>
      <c r="Y328">
        <v>-1.89E-2</v>
      </c>
      <c r="Z328">
        <v>236</v>
      </c>
      <c r="AA328">
        <v>-11.940899999999999</v>
      </c>
      <c r="AB328">
        <v>360</v>
      </c>
      <c r="AC328">
        <v>101.33</v>
      </c>
      <c r="AD328">
        <v>362</v>
      </c>
      <c r="AE328">
        <v>113.271</v>
      </c>
      <c r="AF328">
        <v>327</v>
      </c>
      <c r="AG328">
        <v>0.3735</v>
      </c>
      <c r="AH328">
        <v>173</v>
      </c>
      <c r="AJ328">
        <v>17.27</v>
      </c>
      <c r="AK328">
        <v>143</v>
      </c>
      <c r="AL328">
        <v>17.600000000000001</v>
      </c>
      <c r="AM328">
        <v>195</v>
      </c>
      <c r="AN328">
        <v>16.82</v>
      </c>
      <c r="AO328">
        <v>3</v>
      </c>
      <c r="AP328">
        <v>17.82</v>
      </c>
      <c r="AQ328">
        <v>7</v>
      </c>
    </row>
    <row r="329" spans="1:43" x14ac:dyDescent="0.2">
      <c r="A329" t="s">
        <v>1782</v>
      </c>
      <c r="B329">
        <v>2026</v>
      </c>
      <c r="C329" t="s">
        <v>1240</v>
      </c>
      <c r="D329">
        <v>0</v>
      </c>
      <c r="E329" t="s">
        <v>1123</v>
      </c>
      <c r="F329" t="s">
        <v>2110</v>
      </c>
      <c r="G329">
        <v>14</v>
      </c>
      <c r="H329">
        <v>17</v>
      </c>
      <c r="I329">
        <v>-16.067</v>
      </c>
      <c r="J329">
        <v>328</v>
      </c>
      <c r="K329">
        <v>0.14499999999999999</v>
      </c>
      <c r="L329">
        <v>331</v>
      </c>
      <c r="M329">
        <v>96.293700000000001</v>
      </c>
      <c r="N329">
        <v>350</v>
      </c>
      <c r="O329">
        <v>96.761099999999999</v>
      </c>
      <c r="P329">
        <v>346</v>
      </c>
      <c r="Q329">
        <v>112.361</v>
      </c>
      <c r="R329">
        <v>241</v>
      </c>
      <c r="S329">
        <v>106.244</v>
      </c>
      <c r="T329">
        <v>116</v>
      </c>
      <c r="U329">
        <v>63.529000000000003</v>
      </c>
      <c r="V329">
        <v>360</v>
      </c>
      <c r="W329">
        <v>63.300600000000003</v>
      </c>
      <c r="X329">
        <v>352</v>
      </c>
      <c r="Y329">
        <v>4.1300000000000003E-2</v>
      </c>
      <c r="Z329">
        <v>80</v>
      </c>
      <c r="AA329">
        <v>-9.4558999999999997</v>
      </c>
      <c r="AB329">
        <v>346</v>
      </c>
      <c r="AC329">
        <v>103.02</v>
      </c>
      <c r="AD329">
        <v>350</v>
      </c>
      <c r="AE329">
        <v>112.476</v>
      </c>
      <c r="AF329">
        <v>292</v>
      </c>
      <c r="AG329">
        <v>2.9152</v>
      </c>
      <c r="AH329">
        <v>106</v>
      </c>
      <c r="AJ329">
        <v>19.57</v>
      </c>
      <c r="AK329">
        <v>357</v>
      </c>
      <c r="AL329">
        <v>17.649999999999999</v>
      </c>
      <c r="AM329">
        <v>214</v>
      </c>
      <c r="AN329">
        <v>19.66</v>
      </c>
      <c r="AO329">
        <v>9</v>
      </c>
      <c r="AP329">
        <v>18.07</v>
      </c>
      <c r="AQ329">
        <v>3</v>
      </c>
    </row>
    <row r="330" spans="1:43" x14ac:dyDescent="0.2">
      <c r="A330" t="s">
        <v>1782</v>
      </c>
      <c r="B330">
        <v>2026</v>
      </c>
      <c r="C330" t="s">
        <v>229</v>
      </c>
      <c r="D330">
        <v>0</v>
      </c>
      <c r="E330" t="s">
        <v>1043</v>
      </c>
      <c r="F330" t="s">
        <v>2111</v>
      </c>
      <c r="G330">
        <v>11</v>
      </c>
      <c r="H330">
        <v>22</v>
      </c>
      <c r="I330">
        <v>-16.4358</v>
      </c>
      <c r="J330">
        <v>329</v>
      </c>
      <c r="K330">
        <v>0.15</v>
      </c>
      <c r="L330">
        <v>329</v>
      </c>
      <c r="M330">
        <v>100.964</v>
      </c>
      <c r="N330">
        <v>314</v>
      </c>
      <c r="O330">
        <v>103.145</v>
      </c>
      <c r="P330">
        <v>283</v>
      </c>
      <c r="Q330">
        <v>117.4</v>
      </c>
      <c r="R330">
        <v>324</v>
      </c>
      <c r="S330">
        <v>113.577</v>
      </c>
      <c r="T330">
        <v>302</v>
      </c>
      <c r="U330">
        <v>65.796000000000006</v>
      </c>
      <c r="V330">
        <v>306</v>
      </c>
      <c r="W330">
        <v>65.555700000000002</v>
      </c>
      <c r="X330">
        <v>279</v>
      </c>
      <c r="Y330">
        <v>-7.0000000000000001E-3</v>
      </c>
      <c r="Z330">
        <v>208</v>
      </c>
      <c r="AA330">
        <v>-7.0860000000000003</v>
      </c>
      <c r="AB330">
        <v>302</v>
      </c>
      <c r="AC330">
        <v>106.12</v>
      </c>
      <c r="AD330">
        <v>288</v>
      </c>
      <c r="AE330">
        <v>113.206</v>
      </c>
      <c r="AF330">
        <v>325</v>
      </c>
      <c r="AG330">
        <v>-9.8500000000000004E-2</v>
      </c>
      <c r="AH330">
        <v>190</v>
      </c>
      <c r="AJ330">
        <v>18.239999999999998</v>
      </c>
      <c r="AK330">
        <v>259</v>
      </c>
      <c r="AL330">
        <v>18.079999999999998</v>
      </c>
      <c r="AM330">
        <v>304</v>
      </c>
      <c r="AN330">
        <v>18.329999999999998</v>
      </c>
      <c r="AO330">
        <v>7</v>
      </c>
      <c r="AP330">
        <v>18.239999999999998</v>
      </c>
      <c r="AQ330">
        <v>6</v>
      </c>
    </row>
    <row r="331" spans="1:43" x14ac:dyDescent="0.2">
      <c r="A331" t="s">
        <v>1782</v>
      </c>
      <c r="B331">
        <v>2026</v>
      </c>
      <c r="C331" t="s">
        <v>321</v>
      </c>
      <c r="D331">
        <v>0</v>
      </c>
      <c r="E331" t="s">
        <v>1084</v>
      </c>
      <c r="F331" t="s">
        <v>2112</v>
      </c>
      <c r="G331">
        <v>12</v>
      </c>
      <c r="H331">
        <v>20</v>
      </c>
      <c r="I331">
        <v>-16.479800000000001</v>
      </c>
      <c r="J331">
        <v>330</v>
      </c>
      <c r="K331">
        <v>0.15659999999999999</v>
      </c>
      <c r="L331">
        <v>328</v>
      </c>
      <c r="M331">
        <v>104.538</v>
      </c>
      <c r="N331">
        <v>263</v>
      </c>
      <c r="O331">
        <v>105.21599999999999</v>
      </c>
      <c r="P331">
        <v>246</v>
      </c>
      <c r="Q331">
        <v>121.018</v>
      </c>
      <c r="R331">
        <v>351</v>
      </c>
      <c r="S331">
        <v>115.23699999999999</v>
      </c>
      <c r="T331">
        <v>327</v>
      </c>
      <c r="U331">
        <v>68.120199999999997</v>
      </c>
      <c r="V331">
        <v>196</v>
      </c>
      <c r="W331">
        <v>67.872699999999995</v>
      </c>
      <c r="X331">
        <v>147</v>
      </c>
      <c r="Y331">
        <v>5.33E-2</v>
      </c>
      <c r="Z331">
        <v>56</v>
      </c>
      <c r="AA331">
        <v>-8.2216000000000005</v>
      </c>
      <c r="AB331">
        <v>323</v>
      </c>
      <c r="AC331">
        <v>103.414</v>
      </c>
      <c r="AD331">
        <v>342</v>
      </c>
      <c r="AE331">
        <v>111.636</v>
      </c>
      <c r="AF331">
        <v>245</v>
      </c>
      <c r="AG331">
        <v>-2.9441000000000002</v>
      </c>
      <c r="AH331">
        <v>262</v>
      </c>
      <c r="AJ331">
        <v>17.77</v>
      </c>
      <c r="AK331">
        <v>208</v>
      </c>
      <c r="AL331">
        <v>17.43</v>
      </c>
      <c r="AM331">
        <v>156</v>
      </c>
      <c r="AN331">
        <v>17.87</v>
      </c>
      <c r="AO331">
        <v>6</v>
      </c>
      <c r="AP331">
        <v>17.79</v>
      </c>
      <c r="AQ331">
        <v>1</v>
      </c>
    </row>
    <row r="332" spans="1:43" x14ac:dyDescent="0.2">
      <c r="A332" t="s">
        <v>1782</v>
      </c>
      <c r="B332">
        <v>2026</v>
      </c>
      <c r="C332" t="s">
        <v>69</v>
      </c>
      <c r="D332">
        <v>0</v>
      </c>
      <c r="E332" t="s">
        <v>1043</v>
      </c>
      <c r="F332" t="s">
        <v>2113</v>
      </c>
      <c r="G332">
        <v>10</v>
      </c>
      <c r="H332">
        <v>23</v>
      </c>
      <c r="I332">
        <v>-16.640799999999999</v>
      </c>
      <c r="J332">
        <v>331</v>
      </c>
      <c r="K332">
        <v>0.1421</v>
      </c>
      <c r="L332">
        <v>332</v>
      </c>
      <c r="M332">
        <v>98.341300000000004</v>
      </c>
      <c r="N332">
        <v>340</v>
      </c>
      <c r="O332">
        <v>99.493099999999998</v>
      </c>
      <c r="P332">
        <v>333</v>
      </c>
      <c r="Q332">
        <v>114.982</v>
      </c>
      <c r="R332">
        <v>291</v>
      </c>
      <c r="S332">
        <v>112.509</v>
      </c>
      <c r="T332">
        <v>277</v>
      </c>
      <c r="U332">
        <v>66.971800000000002</v>
      </c>
      <c r="V332">
        <v>249</v>
      </c>
      <c r="W332">
        <v>66.891499999999994</v>
      </c>
      <c r="X332">
        <v>207</v>
      </c>
      <c r="Y332">
        <v>1.5299999999999999E-2</v>
      </c>
      <c r="Z332">
        <v>143</v>
      </c>
      <c r="AA332">
        <v>-6.0015999999999998</v>
      </c>
      <c r="AB332">
        <v>286</v>
      </c>
      <c r="AC332">
        <v>106.932</v>
      </c>
      <c r="AD332">
        <v>275</v>
      </c>
      <c r="AE332">
        <v>112.934</v>
      </c>
      <c r="AF332">
        <v>309</v>
      </c>
      <c r="AG332">
        <v>2.0489000000000002</v>
      </c>
      <c r="AH332">
        <v>125</v>
      </c>
      <c r="AJ332">
        <v>18.13</v>
      </c>
      <c r="AK332">
        <v>247</v>
      </c>
      <c r="AL332">
        <v>17.760000000000002</v>
      </c>
      <c r="AM332">
        <v>240</v>
      </c>
      <c r="AN332">
        <v>18.079999999999998</v>
      </c>
      <c r="AO332">
        <v>4</v>
      </c>
      <c r="AP332">
        <v>18.12</v>
      </c>
      <c r="AQ332">
        <v>4</v>
      </c>
    </row>
    <row r="333" spans="1:43" x14ac:dyDescent="0.2">
      <c r="A333" t="s">
        <v>1782</v>
      </c>
      <c r="B333">
        <v>2026</v>
      </c>
      <c r="C333" t="s">
        <v>1245</v>
      </c>
      <c r="D333">
        <v>0</v>
      </c>
      <c r="E333" t="s">
        <v>1101</v>
      </c>
      <c r="F333" t="s">
        <v>2114</v>
      </c>
      <c r="G333">
        <v>16</v>
      </c>
      <c r="H333">
        <v>17</v>
      </c>
      <c r="I333">
        <v>-16.875800000000002</v>
      </c>
      <c r="J333">
        <v>332</v>
      </c>
      <c r="K333">
        <v>0.1358</v>
      </c>
      <c r="L333">
        <v>334</v>
      </c>
      <c r="M333">
        <v>96.66</v>
      </c>
      <c r="N333">
        <v>348</v>
      </c>
      <c r="O333">
        <v>97.646100000000004</v>
      </c>
      <c r="P333">
        <v>343</v>
      </c>
      <c r="Q333">
        <v>113.536</v>
      </c>
      <c r="R333">
        <v>261</v>
      </c>
      <c r="S333">
        <v>108.27</v>
      </c>
      <c r="T333">
        <v>171</v>
      </c>
      <c r="U333">
        <v>67.903499999999994</v>
      </c>
      <c r="V333">
        <v>209</v>
      </c>
      <c r="W333">
        <v>67.835400000000007</v>
      </c>
      <c r="X333">
        <v>150</v>
      </c>
      <c r="Y333">
        <v>0.1148</v>
      </c>
      <c r="Z333">
        <v>9</v>
      </c>
      <c r="AA333">
        <v>-9.2764000000000006</v>
      </c>
      <c r="AB333">
        <v>342</v>
      </c>
      <c r="AC333">
        <v>103.515</v>
      </c>
      <c r="AD333">
        <v>340</v>
      </c>
      <c r="AE333">
        <v>112.792</v>
      </c>
      <c r="AF333">
        <v>304</v>
      </c>
      <c r="AG333">
        <v>0.91239999999999999</v>
      </c>
      <c r="AH333">
        <v>154</v>
      </c>
      <c r="AJ333">
        <v>17.45</v>
      </c>
      <c r="AK333">
        <v>164</v>
      </c>
      <c r="AL333">
        <v>17.7</v>
      </c>
      <c r="AM333">
        <v>228</v>
      </c>
      <c r="AN333">
        <v>17.39</v>
      </c>
      <c r="AO333">
        <v>2</v>
      </c>
      <c r="AP333">
        <v>18.43</v>
      </c>
      <c r="AQ333">
        <v>6</v>
      </c>
    </row>
    <row r="334" spans="1:43" x14ac:dyDescent="0.2">
      <c r="A334" t="s">
        <v>1782</v>
      </c>
      <c r="B334">
        <v>2026</v>
      </c>
      <c r="C334" t="s">
        <v>425</v>
      </c>
      <c r="D334">
        <v>0</v>
      </c>
      <c r="E334" t="s">
        <v>953</v>
      </c>
      <c r="F334" t="s">
        <v>2115</v>
      </c>
      <c r="G334">
        <v>9</v>
      </c>
      <c r="H334">
        <v>21</v>
      </c>
      <c r="I334">
        <v>-17.261399999999998</v>
      </c>
      <c r="J334">
        <v>333</v>
      </c>
      <c r="K334">
        <v>0.13220000000000001</v>
      </c>
      <c r="L334">
        <v>335</v>
      </c>
      <c r="M334">
        <v>97.122900000000001</v>
      </c>
      <c r="N334">
        <v>344</v>
      </c>
      <c r="O334">
        <v>96.343199999999996</v>
      </c>
      <c r="P334">
        <v>352</v>
      </c>
      <c r="Q334">
        <v>114.384</v>
      </c>
      <c r="R334">
        <v>281</v>
      </c>
      <c r="S334">
        <v>114.134</v>
      </c>
      <c r="T334">
        <v>310</v>
      </c>
      <c r="U334">
        <v>68.965199999999996</v>
      </c>
      <c r="V334">
        <v>153</v>
      </c>
      <c r="W334">
        <v>67.444199999999995</v>
      </c>
      <c r="X334">
        <v>177</v>
      </c>
      <c r="Y334">
        <v>1.4E-2</v>
      </c>
      <c r="Z334">
        <v>146</v>
      </c>
      <c r="AA334">
        <v>-1.1133</v>
      </c>
      <c r="AB334">
        <v>178</v>
      </c>
      <c r="AC334">
        <v>109.295</v>
      </c>
      <c r="AD334">
        <v>154</v>
      </c>
      <c r="AE334">
        <v>110.40900000000001</v>
      </c>
      <c r="AF334">
        <v>201</v>
      </c>
      <c r="AG334">
        <v>2.2168000000000001</v>
      </c>
      <c r="AH334">
        <v>118</v>
      </c>
      <c r="AJ334">
        <v>17.98</v>
      </c>
      <c r="AK334">
        <v>236</v>
      </c>
      <c r="AL334">
        <v>16.91</v>
      </c>
      <c r="AM334">
        <v>49</v>
      </c>
      <c r="AN334">
        <v>17.95</v>
      </c>
      <c r="AO334">
        <v>10</v>
      </c>
      <c r="AP334">
        <v>17.18</v>
      </c>
      <c r="AQ334">
        <v>4</v>
      </c>
    </row>
    <row r="335" spans="1:43" x14ac:dyDescent="0.2">
      <c r="A335" t="s">
        <v>1782</v>
      </c>
      <c r="B335">
        <v>2026</v>
      </c>
      <c r="C335" t="s">
        <v>577</v>
      </c>
      <c r="D335">
        <v>0</v>
      </c>
      <c r="E335" t="s">
        <v>1123</v>
      </c>
      <c r="F335" t="s">
        <v>2116</v>
      </c>
      <c r="G335">
        <v>12</v>
      </c>
      <c r="H335">
        <v>21</v>
      </c>
      <c r="I335">
        <v>-17.3095</v>
      </c>
      <c r="J335">
        <v>334</v>
      </c>
      <c r="K335">
        <v>0.1208</v>
      </c>
      <c r="L335">
        <v>339</v>
      </c>
      <c r="M335">
        <v>91.875</v>
      </c>
      <c r="N335">
        <v>362</v>
      </c>
      <c r="O335">
        <v>94.790300000000002</v>
      </c>
      <c r="P335">
        <v>357</v>
      </c>
      <c r="Q335">
        <v>109.185</v>
      </c>
      <c r="R335">
        <v>169</v>
      </c>
      <c r="S335">
        <v>103.044</v>
      </c>
      <c r="T335">
        <v>63</v>
      </c>
      <c r="U335">
        <v>66.569999999999993</v>
      </c>
      <c r="V335">
        <v>266</v>
      </c>
      <c r="W335">
        <v>66.371899999999997</v>
      </c>
      <c r="X335">
        <v>232</v>
      </c>
      <c r="Y335">
        <v>-7.1000000000000004E-3</v>
      </c>
      <c r="Z335">
        <v>210</v>
      </c>
      <c r="AA335">
        <v>-10.363</v>
      </c>
      <c r="AB335">
        <v>352</v>
      </c>
      <c r="AC335">
        <v>103.048</v>
      </c>
      <c r="AD335">
        <v>349</v>
      </c>
      <c r="AE335">
        <v>113.411</v>
      </c>
      <c r="AF335">
        <v>334</v>
      </c>
      <c r="AG335">
        <v>-3.3833000000000002</v>
      </c>
      <c r="AH335">
        <v>277</v>
      </c>
      <c r="AJ335">
        <v>18.41</v>
      </c>
      <c r="AK335">
        <v>277</v>
      </c>
      <c r="AL335">
        <v>17.760000000000002</v>
      </c>
      <c r="AM335">
        <v>241</v>
      </c>
      <c r="AN335">
        <v>18.27</v>
      </c>
      <c r="AO335">
        <v>5</v>
      </c>
      <c r="AP335">
        <v>18.649999999999999</v>
      </c>
      <c r="AQ335">
        <v>8</v>
      </c>
    </row>
    <row r="336" spans="1:43" x14ac:dyDescent="0.2">
      <c r="A336" t="s">
        <v>1782</v>
      </c>
      <c r="B336">
        <v>2026</v>
      </c>
      <c r="C336" t="s">
        <v>415</v>
      </c>
      <c r="D336">
        <v>0</v>
      </c>
      <c r="E336" t="s">
        <v>1055</v>
      </c>
      <c r="F336" t="s">
        <v>2117</v>
      </c>
      <c r="G336">
        <v>7</v>
      </c>
      <c r="H336">
        <v>25</v>
      </c>
      <c r="I336">
        <v>-17.515699999999999</v>
      </c>
      <c r="J336">
        <v>335</v>
      </c>
      <c r="K336">
        <v>0.14899999999999999</v>
      </c>
      <c r="L336">
        <v>330</v>
      </c>
      <c r="M336">
        <v>107.072</v>
      </c>
      <c r="N336">
        <v>214</v>
      </c>
      <c r="O336">
        <v>106.749</v>
      </c>
      <c r="P336">
        <v>214</v>
      </c>
      <c r="Q336">
        <v>124.58799999999999</v>
      </c>
      <c r="R336">
        <v>363</v>
      </c>
      <c r="S336">
        <v>123.64</v>
      </c>
      <c r="T336">
        <v>363</v>
      </c>
      <c r="U336">
        <v>71.954499999999996</v>
      </c>
      <c r="V336">
        <v>27</v>
      </c>
      <c r="W336">
        <v>70.421300000000002</v>
      </c>
      <c r="X336">
        <v>32</v>
      </c>
      <c r="Y336">
        <v>-2.93E-2</v>
      </c>
      <c r="Z336">
        <v>268</v>
      </c>
      <c r="AA336">
        <v>-3.4771000000000001</v>
      </c>
      <c r="AB336">
        <v>228</v>
      </c>
      <c r="AC336">
        <v>108.16800000000001</v>
      </c>
      <c r="AD336">
        <v>222</v>
      </c>
      <c r="AE336">
        <v>111.645</v>
      </c>
      <c r="AF336">
        <v>246</v>
      </c>
      <c r="AG336">
        <v>7.9284999999999997</v>
      </c>
      <c r="AH336">
        <v>30</v>
      </c>
      <c r="AJ336">
        <v>16.91</v>
      </c>
      <c r="AK336">
        <v>96</v>
      </c>
      <c r="AL336">
        <v>16.399999999999999</v>
      </c>
      <c r="AM336">
        <v>8</v>
      </c>
      <c r="AN336">
        <v>17.18</v>
      </c>
      <c r="AO336">
        <v>4</v>
      </c>
      <c r="AP336">
        <v>16.809999999999999</v>
      </c>
      <c r="AQ336">
        <v>2</v>
      </c>
    </row>
    <row r="337" spans="1:43" x14ac:dyDescent="0.2">
      <c r="A337" t="s">
        <v>1782</v>
      </c>
      <c r="B337">
        <v>2026</v>
      </c>
      <c r="C337" t="s">
        <v>177</v>
      </c>
      <c r="D337">
        <v>0</v>
      </c>
      <c r="E337" t="s">
        <v>1123</v>
      </c>
      <c r="F337" t="s">
        <v>2118</v>
      </c>
      <c r="G337">
        <v>11</v>
      </c>
      <c r="H337">
        <v>21</v>
      </c>
      <c r="I337">
        <v>-17.616099999999999</v>
      </c>
      <c r="J337">
        <v>336</v>
      </c>
      <c r="K337">
        <v>0.13600000000000001</v>
      </c>
      <c r="L337">
        <v>333</v>
      </c>
      <c r="M337">
        <v>100.983</v>
      </c>
      <c r="N337">
        <v>313</v>
      </c>
      <c r="O337">
        <v>101.253</v>
      </c>
      <c r="P337">
        <v>311</v>
      </c>
      <c r="Q337">
        <v>118.599</v>
      </c>
      <c r="R337">
        <v>334</v>
      </c>
      <c r="S337">
        <v>112.355</v>
      </c>
      <c r="T337">
        <v>275</v>
      </c>
      <c r="U337">
        <v>64.155799999999999</v>
      </c>
      <c r="V337">
        <v>351</v>
      </c>
      <c r="W337">
        <v>63.880299999999998</v>
      </c>
      <c r="X337">
        <v>340</v>
      </c>
      <c r="Y337">
        <v>-6.1000000000000004E-3</v>
      </c>
      <c r="Z337">
        <v>206</v>
      </c>
      <c r="AA337">
        <v>-8.5729000000000006</v>
      </c>
      <c r="AB337">
        <v>328</v>
      </c>
      <c r="AC337">
        <v>103.468</v>
      </c>
      <c r="AD337">
        <v>341</v>
      </c>
      <c r="AE337">
        <v>112.041</v>
      </c>
      <c r="AF337">
        <v>270</v>
      </c>
      <c r="AG337">
        <v>5.2419000000000002</v>
      </c>
      <c r="AH337">
        <v>68</v>
      </c>
      <c r="AJ337">
        <v>19.36</v>
      </c>
      <c r="AK337">
        <v>351</v>
      </c>
      <c r="AL337">
        <v>17.93</v>
      </c>
      <c r="AM337">
        <v>278</v>
      </c>
      <c r="AN337">
        <v>20.04</v>
      </c>
      <c r="AO337">
        <v>10</v>
      </c>
      <c r="AP337">
        <v>18.5</v>
      </c>
      <c r="AQ337">
        <v>5</v>
      </c>
    </row>
    <row r="338" spans="1:43" x14ac:dyDescent="0.2">
      <c r="A338" t="s">
        <v>1782</v>
      </c>
      <c r="B338">
        <v>2026</v>
      </c>
      <c r="C338" t="s">
        <v>35</v>
      </c>
      <c r="D338">
        <v>0</v>
      </c>
      <c r="E338" t="s">
        <v>1043</v>
      </c>
      <c r="F338" t="s">
        <v>2119</v>
      </c>
      <c r="G338">
        <v>11</v>
      </c>
      <c r="H338">
        <v>21</v>
      </c>
      <c r="I338">
        <v>-18.414200000000001</v>
      </c>
      <c r="J338">
        <v>337</v>
      </c>
      <c r="K338">
        <v>0.12570000000000001</v>
      </c>
      <c r="L338">
        <v>336</v>
      </c>
      <c r="M338">
        <v>100.256</v>
      </c>
      <c r="N338">
        <v>322</v>
      </c>
      <c r="O338">
        <v>103.083</v>
      </c>
      <c r="P338">
        <v>287</v>
      </c>
      <c r="Q338">
        <v>118.67</v>
      </c>
      <c r="R338">
        <v>335</v>
      </c>
      <c r="S338">
        <v>115.17100000000001</v>
      </c>
      <c r="T338">
        <v>326</v>
      </c>
      <c r="U338">
        <v>67.264899999999997</v>
      </c>
      <c r="V338">
        <v>236</v>
      </c>
      <c r="W338">
        <v>67.100200000000001</v>
      </c>
      <c r="X338">
        <v>197</v>
      </c>
      <c r="Y338">
        <v>4.41E-2</v>
      </c>
      <c r="Z338">
        <v>69</v>
      </c>
      <c r="AA338">
        <v>-7.8311999999999999</v>
      </c>
      <c r="AB338">
        <v>315</v>
      </c>
      <c r="AC338">
        <v>105.72499999999999</v>
      </c>
      <c r="AD338">
        <v>295</v>
      </c>
      <c r="AE338">
        <v>113.556</v>
      </c>
      <c r="AF338">
        <v>338</v>
      </c>
      <c r="AG338">
        <v>-1.9549000000000001</v>
      </c>
      <c r="AH338">
        <v>239</v>
      </c>
      <c r="AJ338">
        <v>17.89</v>
      </c>
      <c r="AK338">
        <v>225</v>
      </c>
      <c r="AL338">
        <v>17.73</v>
      </c>
      <c r="AM338">
        <v>233</v>
      </c>
      <c r="AN338">
        <v>17.64</v>
      </c>
      <c r="AO338">
        <v>3</v>
      </c>
      <c r="AP338">
        <v>18.350000000000001</v>
      </c>
      <c r="AQ338">
        <v>8</v>
      </c>
    </row>
    <row r="339" spans="1:43" x14ac:dyDescent="0.2">
      <c r="A339" t="s">
        <v>1782</v>
      </c>
      <c r="B339">
        <v>2026</v>
      </c>
      <c r="C339" t="s">
        <v>397</v>
      </c>
      <c r="D339">
        <v>0</v>
      </c>
      <c r="E339" t="s">
        <v>1084</v>
      </c>
      <c r="F339" t="s">
        <v>2120</v>
      </c>
      <c r="G339">
        <v>8</v>
      </c>
      <c r="H339">
        <v>22</v>
      </c>
      <c r="I339">
        <v>-18.4908</v>
      </c>
      <c r="J339">
        <v>338</v>
      </c>
      <c r="K339">
        <v>0.124</v>
      </c>
      <c r="L339">
        <v>337</v>
      </c>
      <c r="M339">
        <v>99.766199999999998</v>
      </c>
      <c r="N339">
        <v>326</v>
      </c>
      <c r="O339">
        <v>100.163</v>
      </c>
      <c r="P339">
        <v>325</v>
      </c>
      <c r="Q339">
        <v>118.25700000000001</v>
      </c>
      <c r="R339">
        <v>331</v>
      </c>
      <c r="S339">
        <v>113.099</v>
      </c>
      <c r="T339">
        <v>294</v>
      </c>
      <c r="U339">
        <v>63.091700000000003</v>
      </c>
      <c r="V339">
        <v>364</v>
      </c>
      <c r="W339">
        <v>62.098700000000001</v>
      </c>
      <c r="X339">
        <v>365</v>
      </c>
      <c r="Y339">
        <v>-3.7900000000000003E-2</v>
      </c>
      <c r="Z339">
        <v>292</v>
      </c>
      <c r="AA339">
        <v>-8.2571999999999992</v>
      </c>
      <c r="AB339">
        <v>325</v>
      </c>
      <c r="AC339">
        <v>103.953</v>
      </c>
      <c r="AD339">
        <v>328</v>
      </c>
      <c r="AE339">
        <v>112.21</v>
      </c>
      <c r="AF339">
        <v>280</v>
      </c>
      <c r="AG339">
        <v>-3.9731000000000001</v>
      </c>
      <c r="AH339">
        <v>286</v>
      </c>
      <c r="AJ339">
        <v>19.850000000000001</v>
      </c>
      <c r="AK339">
        <v>363</v>
      </c>
      <c r="AL339">
        <v>17.84</v>
      </c>
      <c r="AM339">
        <v>254</v>
      </c>
      <c r="AN339">
        <v>20.41</v>
      </c>
      <c r="AO339">
        <v>13</v>
      </c>
      <c r="AP339">
        <v>18.2</v>
      </c>
      <c r="AQ339">
        <v>6</v>
      </c>
    </row>
    <row r="340" spans="1:43" x14ac:dyDescent="0.2">
      <c r="A340" t="s">
        <v>1782</v>
      </c>
      <c r="B340">
        <v>2026</v>
      </c>
      <c r="C340" t="s">
        <v>557</v>
      </c>
      <c r="D340">
        <v>0</v>
      </c>
      <c r="E340" t="s">
        <v>1093</v>
      </c>
      <c r="F340" t="s">
        <v>2121</v>
      </c>
      <c r="G340">
        <v>7</v>
      </c>
      <c r="H340">
        <v>23</v>
      </c>
      <c r="I340">
        <v>-18.610900000000001</v>
      </c>
      <c r="J340">
        <v>339</v>
      </c>
      <c r="K340">
        <v>0.1147</v>
      </c>
      <c r="L340">
        <v>342</v>
      </c>
      <c r="M340">
        <v>95.679299999999998</v>
      </c>
      <c r="N340">
        <v>355</v>
      </c>
      <c r="O340">
        <v>97.148799999999994</v>
      </c>
      <c r="P340">
        <v>344</v>
      </c>
      <c r="Q340">
        <v>114.29</v>
      </c>
      <c r="R340">
        <v>276</v>
      </c>
      <c r="S340">
        <v>107.73099999999999</v>
      </c>
      <c r="T340">
        <v>158</v>
      </c>
      <c r="U340">
        <v>68.514200000000002</v>
      </c>
      <c r="V340">
        <v>172</v>
      </c>
      <c r="W340">
        <v>67.528300000000002</v>
      </c>
      <c r="X340">
        <v>172</v>
      </c>
      <c r="Y340">
        <v>-0.10489999999999999</v>
      </c>
      <c r="Z340">
        <v>361</v>
      </c>
      <c r="AA340">
        <v>-8.2667999999999999</v>
      </c>
      <c r="AB340">
        <v>326</v>
      </c>
      <c r="AC340">
        <v>103.742</v>
      </c>
      <c r="AD340">
        <v>333</v>
      </c>
      <c r="AE340">
        <v>112.009</v>
      </c>
      <c r="AF340">
        <v>269</v>
      </c>
      <c r="AG340">
        <v>-1.7003999999999999</v>
      </c>
      <c r="AH340">
        <v>231</v>
      </c>
      <c r="AJ340">
        <v>17.899999999999999</v>
      </c>
      <c r="AK340">
        <v>227</v>
      </c>
      <c r="AL340">
        <v>16.940000000000001</v>
      </c>
      <c r="AM340">
        <v>56</v>
      </c>
      <c r="AN340">
        <v>18.54</v>
      </c>
      <c r="AO340">
        <v>10</v>
      </c>
      <c r="AP340">
        <v>17.36</v>
      </c>
      <c r="AQ340">
        <v>2</v>
      </c>
    </row>
    <row r="341" spans="1:43" x14ac:dyDescent="0.2">
      <c r="A341" t="s">
        <v>1782</v>
      </c>
      <c r="B341">
        <v>2026</v>
      </c>
      <c r="C341" t="s">
        <v>661</v>
      </c>
      <c r="D341">
        <v>0</v>
      </c>
      <c r="E341" t="s">
        <v>940</v>
      </c>
      <c r="F341" t="s">
        <v>2122</v>
      </c>
      <c r="G341">
        <v>5</v>
      </c>
      <c r="H341">
        <v>25</v>
      </c>
      <c r="I341">
        <v>-18.677700000000002</v>
      </c>
      <c r="J341">
        <v>340</v>
      </c>
      <c r="K341">
        <v>0.122</v>
      </c>
      <c r="L341">
        <v>338</v>
      </c>
      <c r="M341">
        <v>99.763099999999994</v>
      </c>
      <c r="N341">
        <v>327</v>
      </c>
      <c r="O341">
        <v>96.973600000000005</v>
      </c>
      <c r="P341">
        <v>345</v>
      </c>
      <c r="Q341">
        <v>118.441</v>
      </c>
      <c r="R341">
        <v>333</v>
      </c>
      <c r="S341">
        <v>119.006</v>
      </c>
      <c r="T341">
        <v>354</v>
      </c>
      <c r="U341">
        <v>69.617900000000006</v>
      </c>
      <c r="V341">
        <v>115</v>
      </c>
      <c r="W341">
        <v>68.589600000000004</v>
      </c>
      <c r="X341">
        <v>114</v>
      </c>
      <c r="Y341">
        <v>-1.2999999999999999E-3</v>
      </c>
      <c r="Z341">
        <v>193</v>
      </c>
      <c r="AA341">
        <v>1.3742000000000001</v>
      </c>
      <c r="AB341">
        <v>119</v>
      </c>
      <c r="AC341">
        <v>110.03700000000001</v>
      </c>
      <c r="AD341">
        <v>124</v>
      </c>
      <c r="AE341">
        <v>108.663</v>
      </c>
      <c r="AF341">
        <v>142</v>
      </c>
      <c r="AG341">
        <v>1.6982999999999999</v>
      </c>
      <c r="AH341">
        <v>132</v>
      </c>
      <c r="AJ341">
        <v>17.079999999999998</v>
      </c>
      <c r="AK341">
        <v>116</v>
      </c>
      <c r="AL341">
        <v>17.239999999999998</v>
      </c>
      <c r="AM341">
        <v>114</v>
      </c>
      <c r="AN341">
        <v>17.37</v>
      </c>
      <c r="AO341">
        <v>7</v>
      </c>
      <c r="AP341">
        <v>17.38</v>
      </c>
      <c r="AQ341">
        <v>4</v>
      </c>
    </row>
    <row r="342" spans="1:43" x14ac:dyDescent="0.2">
      <c r="A342" t="s">
        <v>1782</v>
      </c>
      <c r="B342">
        <v>2026</v>
      </c>
      <c r="C342" t="s">
        <v>261</v>
      </c>
      <c r="D342">
        <v>0</v>
      </c>
      <c r="E342" t="s">
        <v>1154</v>
      </c>
      <c r="F342" t="s">
        <v>2123</v>
      </c>
      <c r="G342">
        <v>12</v>
      </c>
      <c r="H342">
        <v>21</v>
      </c>
      <c r="I342">
        <v>-18.985800000000001</v>
      </c>
      <c r="J342">
        <v>341</v>
      </c>
      <c r="K342">
        <v>0.11940000000000001</v>
      </c>
      <c r="L342">
        <v>340</v>
      </c>
      <c r="M342">
        <v>100.04600000000001</v>
      </c>
      <c r="N342">
        <v>324</v>
      </c>
      <c r="O342">
        <v>97.9696</v>
      </c>
      <c r="P342">
        <v>342</v>
      </c>
      <c r="Q342">
        <v>119.032</v>
      </c>
      <c r="R342">
        <v>339</v>
      </c>
      <c r="S342">
        <v>116.53700000000001</v>
      </c>
      <c r="T342">
        <v>342</v>
      </c>
      <c r="U342">
        <v>71.059299999999993</v>
      </c>
      <c r="V342">
        <v>52</v>
      </c>
      <c r="W342">
        <v>69.433000000000007</v>
      </c>
      <c r="X342">
        <v>73</v>
      </c>
      <c r="Y342">
        <v>0.10050000000000001</v>
      </c>
      <c r="Z342">
        <v>15</v>
      </c>
      <c r="AA342">
        <v>-6.4462999999999999</v>
      </c>
      <c r="AB342">
        <v>292</v>
      </c>
      <c r="AC342">
        <v>105.003</v>
      </c>
      <c r="AD342">
        <v>306</v>
      </c>
      <c r="AE342">
        <v>111.45</v>
      </c>
      <c r="AF342">
        <v>237</v>
      </c>
      <c r="AG342">
        <v>13.507</v>
      </c>
      <c r="AH342">
        <v>7</v>
      </c>
      <c r="AJ342">
        <v>17.84</v>
      </c>
      <c r="AK342">
        <v>216</v>
      </c>
      <c r="AL342">
        <v>15.82</v>
      </c>
      <c r="AM342">
        <v>1</v>
      </c>
      <c r="AN342">
        <v>17.52</v>
      </c>
      <c r="AO342">
        <v>8</v>
      </c>
      <c r="AP342">
        <v>16.13</v>
      </c>
      <c r="AQ342">
        <v>1</v>
      </c>
    </row>
    <row r="343" spans="1:43" x14ac:dyDescent="0.2">
      <c r="A343" t="s">
        <v>1782</v>
      </c>
      <c r="B343">
        <v>2026</v>
      </c>
      <c r="C343" t="s">
        <v>403</v>
      </c>
      <c r="D343">
        <v>0</v>
      </c>
      <c r="E343" t="s">
        <v>1055</v>
      </c>
      <c r="F343" t="s">
        <v>2124</v>
      </c>
      <c r="G343">
        <v>9</v>
      </c>
      <c r="H343">
        <v>21</v>
      </c>
      <c r="I343">
        <v>-19.237500000000001</v>
      </c>
      <c r="J343">
        <v>342</v>
      </c>
      <c r="K343">
        <v>0.1162</v>
      </c>
      <c r="L343">
        <v>341</v>
      </c>
      <c r="M343">
        <v>99.6952</v>
      </c>
      <c r="N343">
        <v>328</v>
      </c>
      <c r="O343">
        <v>102.60599999999999</v>
      </c>
      <c r="P343">
        <v>299</v>
      </c>
      <c r="Q343">
        <v>118.93300000000001</v>
      </c>
      <c r="R343">
        <v>338</v>
      </c>
      <c r="S343">
        <v>117.926</v>
      </c>
      <c r="T343">
        <v>348</v>
      </c>
      <c r="U343">
        <v>65.575900000000004</v>
      </c>
      <c r="V343">
        <v>316</v>
      </c>
      <c r="W343">
        <v>64.823599999999999</v>
      </c>
      <c r="X343">
        <v>312</v>
      </c>
      <c r="Y343">
        <v>5.6500000000000002E-2</v>
      </c>
      <c r="Z343">
        <v>52</v>
      </c>
      <c r="AA343">
        <v>-4.7563000000000004</v>
      </c>
      <c r="AB343">
        <v>259</v>
      </c>
      <c r="AC343">
        <v>108.858</v>
      </c>
      <c r="AD343">
        <v>177</v>
      </c>
      <c r="AE343">
        <v>113.614</v>
      </c>
      <c r="AF343">
        <v>339</v>
      </c>
      <c r="AG343">
        <v>1.9407000000000001</v>
      </c>
      <c r="AH343">
        <v>127</v>
      </c>
      <c r="AJ343">
        <v>18.87</v>
      </c>
      <c r="AK343">
        <v>322</v>
      </c>
      <c r="AL343">
        <v>17.57</v>
      </c>
      <c r="AM343">
        <v>189</v>
      </c>
      <c r="AN343">
        <v>18.899999999999999</v>
      </c>
      <c r="AO343">
        <v>10</v>
      </c>
      <c r="AP343">
        <v>17.510000000000002</v>
      </c>
      <c r="AQ343">
        <v>6</v>
      </c>
    </row>
    <row r="344" spans="1:43" x14ac:dyDescent="0.2">
      <c r="A344" t="s">
        <v>1782</v>
      </c>
      <c r="B344">
        <v>2026</v>
      </c>
      <c r="C344" t="s">
        <v>89</v>
      </c>
      <c r="D344">
        <v>0</v>
      </c>
      <c r="E344" t="s">
        <v>1084</v>
      </c>
      <c r="F344" t="s">
        <v>2125</v>
      </c>
      <c r="G344">
        <v>10</v>
      </c>
      <c r="H344">
        <v>21</v>
      </c>
      <c r="I344">
        <v>-19.238800000000001</v>
      </c>
      <c r="J344">
        <v>343</v>
      </c>
      <c r="K344">
        <v>0.1079</v>
      </c>
      <c r="L344">
        <v>345</v>
      </c>
      <c r="M344">
        <v>95.404799999999994</v>
      </c>
      <c r="N344">
        <v>356</v>
      </c>
      <c r="O344">
        <v>96.295699999999997</v>
      </c>
      <c r="P344">
        <v>353</v>
      </c>
      <c r="Q344">
        <v>114.64400000000001</v>
      </c>
      <c r="R344">
        <v>284</v>
      </c>
      <c r="S344">
        <v>110.30800000000001</v>
      </c>
      <c r="T344">
        <v>228</v>
      </c>
      <c r="U344">
        <v>64.3232</v>
      </c>
      <c r="V344">
        <v>348</v>
      </c>
      <c r="W344">
        <v>64.212999999999994</v>
      </c>
      <c r="X344">
        <v>335</v>
      </c>
      <c r="Y344">
        <v>1.8700000000000001E-2</v>
      </c>
      <c r="Z344">
        <v>132</v>
      </c>
      <c r="AA344">
        <v>-7.9135999999999997</v>
      </c>
      <c r="AB344">
        <v>316</v>
      </c>
      <c r="AC344">
        <v>104.441</v>
      </c>
      <c r="AD344">
        <v>312</v>
      </c>
      <c r="AE344">
        <v>112.354</v>
      </c>
      <c r="AF344">
        <v>285</v>
      </c>
      <c r="AG344">
        <v>-3.4137</v>
      </c>
      <c r="AH344">
        <v>278</v>
      </c>
      <c r="AJ344">
        <v>19.11</v>
      </c>
      <c r="AK344">
        <v>337</v>
      </c>
      <c r="AL344">
        <v>17.920000000000002</v>
      </c>
      <c r="AM344">
        <v>275</v>
      </c>
      <c r="AN344">
        <v>18.95</v>
      </c>
      <c r="AO344">
        <v>9</v>
      </c>
      <c r="AP344">
        <v>18.02</v>
      </c>
      <c r="AQ344">
        <v>4</v>
      </c>
    </row>
    <row r="345" spans="1:43" x14ac:dyDescent="0.2">
      <c r="A345" t="s">
        <v>1782</v>
      </c>
      <c r="B345">
        <v>2026</v>
      </c>
      <c r="C345" t="s">
        <v>105</v>
      </c>
      <c r="D345">
        <v>0</v>
      </c>
      <c r="E345" t="s">
        <v>1123</v>
      </c>
      <c r="F345" t="s">
        <v>2126</v>
      </c>
      <c r="G345">
        <v>7</v>
      </c>
      <c r="H345">
        <v>25</v>
      </c>
      <c r="I345">
        <v>-19.564399999999999</v>
      </c>
      <c r="J345">
        <v>344</v>
      </c>
      <c r="K345">
        <v>0.11269999999999999</v>
      </c>
      <c r="L345">
        <v>343</v>
      </c>
      <c r="M345">
        <v>99.5672</v>
      </c>
      <c r="N345">
        <v>333</v>
      </c>
      <c r="O345">
        <v>98.9773</v>
      </c>
      <c r="P345">
        <v>337</v>
      </c>
      <c r="Q345">
        <v>119.13200000000001</v>
      </c>
      <c r="R345">
        <v>340</v>
      </c>
      <c r="S345">
        <v>115.514</v>
      </c>
      <c r="T345">
        <v>329</v>
      </c>
      <c r="U345">
        <v>65.764899999999997</v>
      </c>
      <c r="V345">
        <v>308</v>
      </c>
      <c r="W345">
        <v>65.343699999999998</v>
      </c>
      <c r="X345">
        <v>291</v>
      </c>
      <c r="Y345">
        <v>-3.2000000000000001E-2</v>
      </c>
      <c r="Z345">
        <v>276</v>
      </c>
      <c r="AA345">
        <v>-4.5964999999999998</v>
      </c>
      <c r="AB345">
        <v>258</v>
      </c>
      <c r="AC345">
        <v>105.736</v>
      </c>
      <c r="AD345">
        <v>294</v>
      </c>
      <c r="AE345">
        <v>110.333</v>
      </c>
      <c r="AF345">
        <v>197</v>
      </c>
      <c r="AG345">
        <v>10.6182</v>
      </c>
      <c r="AH345">
        <v>16</v>
      </c>
      <c r="AJ345">
        <v>19.32</v>
      </c>
      <c r="AK345">
        <v>349</v>
      </c>
      <c r="AL345">
        <v>17</v>
      </c>
      <c r="AM345">
        <v>65</v>
      </c>
      <c r="AN345">
        <v>19.53</v>
      </c>
      <c r="AO345">
        <v>8</v>
      </c>
      <c r="AP345">
        <v>17.86</v>
      </c>
      <c r="AQ345">
        <v>1</v>
      </c>
    </row>
    <row r="346" spans="1:43" x14ac:dyDescent="0.2">
      <c r="A346" t="s">
        <v>1782</v>
      </c>
      <c r="B346">
        <v>2026</v>
      </c>
      <c r="C346" t="s">
        <v>5</v>
      </c>
      <c r="D346">
        <v>0</v>
      </c>
      <c r="E346" t="s">
        <v>918</v>
      </c>
      <c r="F346" t="s">
        <v>2127</v>
      </c>
      <c r="G346">
        <v>3</v>
      </c>
      <c r="H346">
        <v>29</v>
      </c>
      <c r="I346">
        <v>-19.8935</v>
      </c>
      <c r="J346">
        <v>345</v>
      </c>
      <c r="K346">
        <v>0.1024</v>
      </c>
      <c r="L346">
        <v>346</v>
      </c>
      <c r="M346">
        <v>95.744</v>
      </c>
      <c r="N346">
        <v>352</v>
      </c>
      <c r="O346">
        <v>91.300299999999993</v>
      </c>
      <c r="P346">
        <v>363</v>
      </c>
      <c r="Q346">
        <v>115.63800000000001</v>
      </c>
      <c r="R346">
        <v>301</v>
      </c>
      <c r="S346">
        <v>118.661</v>
      </c>
      <c r="T346">
        <v>352</v>
      </c>
      <c r="U346">
        <v>67.396500000000003</v>
      </c>
      <c r="V346">
        <v>227</v>
      </c>
      <c r="W346">
        <v>66.322800000000001</v>
      </c>
      <c r="X346">
        <v>237</v>
      </c>
      <c r="Y346">
        <v>2.0000000000000001E-4</v>
      </c>
      <c r="Z346">
        <v>189</v>
      </c>
      <c r="AA346">
        <v>5.1062000000000003</v>
      </c>
      <c r="AB346">
        <v>90</v>
      </c>
      <c r="AC346">
        <v>112.358</v>
      </c>
      <c r="AD346">
        <v>88</v>
      </c>
      <c r="AE346">
        <v>107.252</v>
      </c>
      <c r="AF346">
        <v>96</v>
      </c>
      <c r="AG346">
        <v>-4.8766999999999996</v>
      </c>
      <c r="AH346">
        <v>299</v>
      </c>
      <c r="AJ346">
        <v>19.22</v>
      </c>
      <c r="AK346">
        <v>342</v>
      </c>
      <c r="AL346">
        <v>16.170000000000002</v>
      </c>
      <c r="AM346">
        <v>4</v>
      </c>
      <c r="AN346">
        <v>19.25</v>
      </c>
      <c r="AO346">
        <v>12</v>
      </c>
      <c r="AP346">
        <v>16.25</v>
      </c>
      <c r="AQ346">
        <v>1</v>
      </c>
    </row>
    <row r="347" spans="1:43" x14ac:dyDescent="0.2">
      <c r="A347" t="s">
        <v>1782</v>
      </c>
      <c r="B347">
        <v>2026</v>
      </c>
      <c r="C347" t="s">
        <v>609</v>
      </c>
      <c r="D347">
        <v>0</v>
      </c>
      <c r="E347" t="s">
        <v>1071</v>
      </c>
      <c r="F347" t="s">
        <v>2128</v>
      </c>
      <c r="G347">
        <v>11</v>
      </c>
      <c r="H347">
        <v>22</v>
      </c>
      <c r="I347">
        <v>-20.2516</v>
      </c>
      <c r="J347">
        <v>346</v>
      </c>
      <c r="K347">
        <v>0.1086</v>
      </c>
      <c r="L347">
        <v>344</v>
      </c>
      <c r="M347">
        <v>100.827</v>
      </c>
      <c r="N347">
        <v>316</v>
      </c>
      <c r="O347">
        <v>102.79</v>
      </c>
      <c r="P347">
        <v>294</v>
      </c>
      <c r="Q347">
        <v>121.078</v>
      </c>
      <c r="R347">
        <v>352</v>
      </c>
      <c r="S347">
        <v>119.485</v>
      </c>
      <c r="T347">
        <v>357</v>
      </c>
      <c r="U347">
        <v>64.783900000000003</v>
      </c>
      <c r="V347">
        <v>336</v>
      </c>
      <c r="W347">
        <v>64.373000000000005</v>
      </c>
      <c r="X347">
        <v>329</v>
      </c>
      <c r="Y347">
        <v>2.8000000000000001E-2</v>
      </c>
      <c r="Z347">
        <v>115</v>
      </c>
      <c r="AA347">
        <v>-5.6698000000000004</v>
      </c>
      <c r="AB347">
        <v>276</v>
      </c>
      <c r="AC347">
        <v>108.024</v>
      </c>
      <c r="AD347">
        <v>235</v>
      </c>
      <c r="AE347">
        <v>113.694</v>
      </c>
      <c r="AF347">
        <v>343</v>
      </c>
      <c r="AG347">
        <v>-1.8776999999999999</v>
      </c>
      <c r="AH347">
        <v>236</v>
      </c>
      <c r="AJ347">
        <v>19.28</v>
      </c>
      <c r="AK347">
        <v>347</v>
      </c>
      <c r="AL347">
        <v>17.52</v>
      </c>
      <c r="AM347">
        <v>176</v>
      </c>
      <c r="AN347">
        <v>19.39</v>
      </c>
      <c r="AO347">
        <v>10</v>
      </c>
      <c r="AP347">
        <v>17.649999999999999</v>
      </c>
      <c r="AQ347">
        <v>3</v>
      </c>
    </row>
    <row r="348" spans="1:43" x14ac:dyDescent="0.2">
      <c r="A348" t="s">
        <v>1782</v>
      </c>
      <c r="B348">
        <v>2026</v>
      </c>
      <c r="C348" t="s">
        <v>319</v>
      </c>
      <c r="D348">
        <v>0</v>
      </c>
      <c r="E348" t="s">
        <v>1101</v>
      </c>
      <c r="F348" t="s">
        <v>2129</v>
      </c>
      <c r="G348">
        <v>8</v>
      </c>
      <c r="H348">
        <v>24</v>
      </c>
      <c r="I348">
        <v>-20.342600000000001</v>
      </c>
      <c r="J348">
        <v>347</v>
      </c>
      <c r="K348">
        <v>9.0899999999999995E-2</v>
      </c>
      <c r="L348">
        <v>353</v>
      </c>
      <c r="M348">
        <v>91.739400000000003</v>
      </c>
      <c r="N348">
        <v>363</v>
      </c>
      <c r="O348">
        <v>94.631299999999996</v>
      </c>
      <c r="P348">
        <v>358</v>
      </c>
      <c r="Q348">
        <v>112.08199999999999</v>
      </c>
      <c r="R348">
        <v>231</v>
      </c>
      <c r="S348">
        <v>105.56699999999999</v>
      </c>
      <c r="T348">
        <v>103</v>
      </c>
      <c r="U348">
        <v>64.852400000000003</v>
      </c>
      <c r="V348">
        <v>334</v>
      </c>
      <c r="W348">
        <v>64.743499999999997</v>
      </c>
      <c r="X348">
        <v>318</v>
      </c>
      <c r="Y348">
        <v>-3.0800000000000001E-2</v>
      </c>
      <c r="Z348">
        <v>273</v>
      </c>
      <c r="AA348">
        <v>-9.2294999999999998</v>
      </c>
      <c r="AB348">
        <v>340</v>
      </c>
      <c r="AC348">
        <v>103.96</v>
      </c>
      <c r="AD348">
        <v>326</v>
      </c>
      <c r="AE348">
        <v>113.18899999999999</v>
      </c>
      <c r="AF348">
        <v>324</v>
      </c>
      <c r="AG348">
        <v>-1.4745999999999999</v>
      </c>
      <c r="AH348">
        <v>224</v>
      </c>
      <c r="AJ348">
        <v>17.91</v>
      </c>
      <c r="AK348">
        <v>229</v>
      </c>
      <c r="AL348">
        <v>18.940000000000001</v>
      </c>
      <c r="AM348">
        <v>361</v>
      </c>
      <c r="AN348">
        <v>17.47</v>
      </c>
      <c r="AO348">
        <v>3</v>
      </c>
      <c r="AP348">
        <v>19.329999999999998</v>
      </c>
      <c r="AQ348">
        <v>8</v>
      </c>
    </row>
    <row r="349" spans="1:43" x14ac:dyDescent="0.2">
      <c r="A349" t="s">
        <v>1782</v>
      </c>
      <c r="B349">
        <v>2026</v>
      </c>
      <c r="C349" t="s">
        <v>17</v>
      </c>
      <c r="D349">
        <v>0</v>
      </c>
      <c r="E349" t="s">
        <v>1154</v>
      </c>
      <c r="F349" t="s">
        <v>2130</v>
      </c>
      <c r="G349">
        <v>9</v>
      </c>
      <c r="H349">
        <v>23</v>
      </c>
      <c r="I349">
        <v>-20.346</v>
      </c>
      <c r="J349">
        <v>348</v>
      </c>
      <c r="K349">
        <v>9.9500000000000005E-2</v>
      </c>
      <c r="L349">
        <v>348</v>
      </c>
      <c r="M349">
        <v>96.355900000000005</v>
      </c>
      <c r="N349">
        <v>349</v>
      </c>
      <c r="O349">
        <v>96.186400000000006</v>
      </c>
      <c r="P349">
        <v>354</v>
      </c>
      <c r="Q349">
        <v>116.702</v>
      </c>
      <c r="R349">
        <v>315</v>
      </c>
      <c r="S349">
        <v>114.54300000000001</v>
      </c>
      <c r="T349">
        <v>318</v>
      </c>
      <c r="U349">
        <v>69.424000000000007</v>
      </c>
      <c r="V349">
        <v>125</v>
      </c>
      <c r="W349">
        <v>67.208699999999993</v>
      </c>
      <c r="X349">
        <v>189</v>
      </c>
      <c r="Y349">
        <v>3.9100000000000003E-2</v>
      </c>
      <c r="Z349">
        <v>92</v>
      </c>
      <c r="AA349">
        <v>-5.3708999999999998</v>
      </c>
      <c r="AB349">
        <v>268</v>
      </c>
      <c r="AC349">
        <v>105.625</v>
      </c>
      <c r="AD349">
        <v>298</v>
      </c>
      <c r="AE349">
        <v>110.995</v>
      </c>
      <c r="AF349">
        <v>222</v>
      </c>
      <c r="AG349">
        <v>13.353</v>
      </c>
      <c r="AH349">
        <v>8</v>
      </c>
      <c r="AJ349">
        <v>17.96</v>
      </c>
      <c r="AK349">
        <v>233</v>
      </c>
      <c r="AL349">
        <v>16.55</v>
      </c>
      <c r="AM349">
        <v>13</v>
      </c>
      <c r="AN349">
        <v>18.34</v>
      </c>
      <c r="AO349">
        <v>12</v>
      </c>
      <c r="AP349">
        <v>17.11</v>
      </c>
      <c r="AQ349">
        <v>8</v>
      </c>
    </row>
    <row r="350" spans="1:43" x14ac:dyDescent="0.2">
      <c r="A350" t="s">
        <v>1782</v>
      </c>
      <c r="B350">
        <v>2026</v>
      </c>
      <c r="C350" t="s">
        <v>389</v>
      </c>
      <c r="D350">
        <v>0</v>
      </c>
      <c r="E350" t="s">
        <v>1101</v>
      </c>
      <c r="F350" t="s">
        <v>2131</v>
      </c>
      <c r="G350">
        <v>9</v>
      </c>
      <c r="H350">
        <v>21</v>
      </c>
      <c r="I350">
        <v>-20.719100000000001</v>
      </c>
      <c r="J350">
        <v>349</v>
      </c>
      <c r="K350">
        <v>9.4399999999999998E-2</v>
      </c>
      <c r="L350">
        <v>350</v>
      </c>
      <c r="M350">
        <v>95.377200000000002</v>
      </c>
      <c r="N350">
        <v>357</v>
      </c>
      <c r="O350">
        <v>96.512699999999995</v>
      </c>
      <c r="P350">
        <v>349</v>
      </c>
      <c r="Q350">
        <v>116.096</v>
      </c>
      <c r="R350">
        <v>306</v>
      </c>
      <c r="S350">
        <v>110.78100000000001</v>
      </c>
      <c r="T350">
        <v>236</v>
      </c>
      <c r="U350">
        <v>67.216499999999996</v>
      </c>
      <c r="V350">
        <v>239</v>
      </c>
      <c r="W350">
        <v>67.477900000000005</v>
      </c>
      <c r="X350">
        <v>176</v>
      </c>
      <c r="Y350">
        <v>-2.3999999999999998E-3</v>
      </c>
      <c r="Z350">
        <v>198</v>
      </c>
      <c r="AA350">
        <v>-8.1240000000000006</v>
      </c>
      <c r="AB350">
        <v>322</v>
      </c>
      <c r="AC350">
        <v>104.354</v>
      </c>
      <c r="AD350">
        <v>315</v>
      </c>
      <c r="AE350">
        <v>112.47799999999999</v>
      </c>
      <c r="AF350">
        <v>293</v>
      </c>
      <c r="AG350">
        <v>5.3064</v>
      </c>
      <c r="AH350">
        <v>64</v>
      </c>
      <c r="AJ350">
        <v>17.57</v>
      </c>
      <c r="AK350">
        <v>180</v>
      </c>
      <c r="AL350">
        <v>18.010000000000002</v>
      </c>
      <c r="AM350">
        <v>295</v>
      </c>
      <c r="AN350">
        <v>17.489999999999998</v>
      </c>
      <c r="AO350">
        <v>4</v>
      </c>
      <c r="AP350">
        <v>18.53</v>
      </c>
      <c r="AQ350">
        <v>7</v>
      </c>
    </row>
    <row r="351" spans="1:43" x14ac:dyDescent="0.2">
      <c r="A351" t="s">
        <v>1782</v>
      </c>
      <c r="B351">
        <v>2026</v>
      </c>
      <c r="C351" t="s">
        <v>331</v>
      </c>
      <c r="D351">
        <v>0</v>
      </c>
      <c r="E351" t="s">
        <v>1113</v>
      </c>
      <c r="F351" t="s">
        <v>2132</v>
      </c>
      <c r="G351">
        <v>9</v>
      </c>
      <c r="H351">
        <v>23</v>
      </c>
      <c r="I351">
        <v>-20.873999999999999</v>
      </c>
      <c r="J351">
        <v>350</v>
      </c>
      <c r="K351">
        <v>9.1899999999999996E-2</v>
      </c>
      <c r="L351">
        <v>352</v>
      </c>
      <c r="M351">
        <v>94.714799999999997</v>
      </c>
      <c r="N351">
        <v>358</v>
      </c>
      <c r="O351">
        <v>95.215199999999996</v>
      </c>
      <c r="P351">
        <v>356</v>
      </c>
      <c r="Q351">
        <v>115.589</v>
      </c>
      <c r="R351">
        <v>300</v>
      </c>
      <c r="S351">
        <v>108.883</v>
      </c>
      <c r="T351">
        <v>193</v>
      </c>
      <c r="U351">
        <v>64.446799999999996</v>
      </c>
      <c r="V351">
        <v>345</v>
      </c>
      <c r="W351">
        <v>63.024500000000003</v>
      </c>
      <c r="X351">
        <v>357</v>
      </c>
      <c r="Y351">
        <v>-5.1999999999999998E-2</v>
      </c>
      <c r="Z351">
        <v>310</v>
      </c>
      <c r="AA351">
        <v>-9.3163</v>
      </c>
      <c r="AB351">
        <v>345</v>
      </c>
      <c r="AC351">
        <v>103.747</v>
      </c>
      <c r="AD351">
        <v>332</v>
      </c>
      <c r="AE351">
        <v>113.063</v>
      </c>
      <c r="AF351">
        <v>318</v>
      </c>
      <c r="AG351">
        <v>4.9904000000000002</v>
      </c>
      <c r="AH351">
        <v>72</v>
      </c>
      <c r="AJ351">
        <v>19.64</v>
      </c>
      <c r="AK351">
        <v>360</v>
      </c>
      <c r="AL351">
        <v>17.34</v>
      </c>
      <c r="AM351">
        <v>137</v>
      </c>
      <c r="AN351">
        <v>19.13</v>
      </c>
      <c r="AO351">
        <v>8</v>
      </c>
      <c r="AP351">
        <v>17.809999999999999</v>
      </c>
      <c r="AQ351">
        <v>6</v>
      </c>
    </row>
    <row r="352" spans="1:43" x14ac:dyDescent="0.2">
      <c r="A352" t="s">
        <v>1782</v>
      </c>
      <c r="B352">
        <v>2026</v>
      </c>
      <c r="C352" t="s">
        <v>305</v>
      </c>
      <c r="D352">
        <v>0</v>
      </c>
      <c r="E352" t="s">
        <v>1045</v>
      </c>
      <c r="F352" t="s">
        <v>2133</v>
      </c>
      <c r="G352">
        <v>4</v>
      </c>
      <c r="H352">
        <v>28</v>
      </c>
      <c r="I352">
        <v>-21.058</v>
      </c>
      <c r="J352">
        <v>351</v>
      </c>
      <c r="K352">
        <v>0.1024</v>
      </c>
      <c r="L352">
        <v>347</v>
      </c>
      <c r="M352">
        <v>101.32899999999999</v>
      </c>
      <c r="N352">
        <v>310</v>
      </c>
      <c r="O352">
        <v>100.485</v>
      </c>
      <c r="P352">
        <v>321</v>
      </c>
      <c r="Q352">
        <v>122.387</v>
      </c>
      <c r="R352">
        <v>360</v>
      </c>
      <c r="S352">
        <v>119.723</v>
      </c>
      <c r="T352">
        <v>358</v>
      </c>
      <c r="U352">
        <v>70.706299999999999</v>
      </c>
      <c r="V352">
        <v>66</v>
      </c>
      <c r="W352">
        <v>70.145600000000002</v>
      </c>
      <c r="X352">
        <v>41</v>
      </c>
      <c r="Y352">
        <v>-9.8799999999999999E-2</v>
      </c>
      <c r="Z352">
        <v>359</v>
      </c>
      <c r="AA352">
        <v>-3.7553000000000001</v>
      </c>
      <c r="AB352">
        <v>237</v>
      </c>
      <c r="AC352">
        <v>106.685</v>
      </c>
      <c r="AD352">
        <v>278</v>
      </c>
      <c r="AE352">
        <v>110.44</v>
      </c>
      <c r="AF352">
        <v>203</v>
      </c>
      <c r="AG352">
        <v>-1.39</v>
      </c>
      <c r="AH352">
        <v>222</v>
      </c>
      <c r="AJ352">
        <v>17.059999999999999</v>
      </c>
      <c r="AK352">
        <v>114</v>
      </c>
      <c r="AL352">
        <v>16.86</v>
      </c>
      <c r="AM352">
        <v>40</v>
      </c>
      <c r="AN352">
        <v>17.11</v>
      </c>
      <c r="AO352">
        <v>5</v>
      </c>
      <c r="AP352">
        <v>17</v>
      </c>
      <c r="AQ352">
        <v>4</v>
      </c>
    </row>
    <row r="353" spans="1:43" x14ac:dyDescent="0.2">
      <c r="A353" t="s">
        <v>1782</v>
      </c>
      <c r="B353">
        <v>2026</v>
      </c>
      <c r="C353" t="s">
        <v>407</v>
      </c>
      <c r="D353">
        <v>0</v>
      </c>
      <c r="E353" t="s">
        <v>1113</v>
      </c>
      <c r="F353" t="s">
        <v>2134</v>
      </c>
      <c r="G353">
        <v>13</v>
      </c>
      <c r="H353">
        <v>17</v>
      </c>
      <c r="I353">
        <v>-21.520700000000001</v>
      </c>
      <c r="J353">
        <v>352</v>
      </c>
      <c r="K353">
        <v>9.6199999999999994E-2</v>
      </c>
      <c r="L353">
        <v>349</v>
      </c>
      <c r="M353">
        <v>100.093</v>
      </c>
      <c r="N353">
        <v>323</v>
      </c>
      <c r="O353">
        <v>101.196</v>
      </c>
      <c r="P353">
        <v>313</v>
      </c>
      <c r="Q353">
        <v>121.614</v>
      </c>
      <c r="R353">
        <v>355</v>
      </c>
      <c r="S353">
        <v>115.91500000000001</v>
      </c>
      <c r="T353">
        <v>334</v>
      </c>
      <c r="U353">
        <v>67.229399999999998</v>
      </c>
      <c r="V353">
        <v>238</v>
      </c>
      <c r="W353">
        <v>66.3446</v>
      </c>
      <c r="X353">
        <v>234</v>
      </c>
      <c r="Y353">
        <v>7.0499999999999993E-2</v>
      </c>
      <c r="Z353">
        <v>31</v>
      </c>
      <c r="AA353">
        <v>-9.9591999999999992</v>
      </c>
      <c r="AB353">
        <v>350</v>
      </c>
      <c r="AC353">
        <v>102.752</v>
      </c>
      <c r="AD353">
        <v>354</v>
      </c>
      <c r="AE353">
        <v>112.711</v>
      </c>
      <c r="AF353">
        <v>301</v>
      </c>
      <c r="AG353">
        <v>9.1355000000000004</v>
      </c>
      <c r="AH353">
        <v>22</v>
      </c>
      <c r="AJ353">
        <v>17.66</v>
      </c>
      <c r="AK353">
        <v>190</v>
      </c>
      <c r="AL353">
        <v>17.899999999999999</v>
      </c>
      <c r="AM353">
        <v>269</v>
      </c>
      <c r="AN353">
        <v>17.37</v>
      </c>
      <c r="AO353">
        <v>4</v>
      </c>
      <c r="AP353">
        <v>18.350000000000001</v>
      </c>
      <c r="AQ353">
        <v>8</v>
      </c>
    </row>
    <row r="354" spans="1:43" x14ac:dyDescent="0.2">
      <c r="A354" t="s">
        <v>1782</v>
      </c>
      <c r="B354">
        <v>2026</v>
      </c>
      <c r="C354" t="s">
        <v>375</v>
      </c>
      <c r="D354">
        <v>0</v>
      </c>
      <c r="E354" t="s">
        <v>1113</v>
      </c>
      <c r="F354" t="s">
        <v>2135</v>
      </c>
      <c r="G354">
        <v>14</v>
      </c>
      <c r="H354">
        <v>16</v>
      </c>
      <c r="I354">
        <v>-21.783200000000001</v>
      </c>
      <c r="J354">
        <v>353</v>
      </c>
      <c r="K354">
        <v>9.2999999999999999E-2</v>
      </c>
      <c r="L354">
        <v>351</v>
      </c>
      <c r="M354">
        <v>99.468000000000004</v>
      </c>
      <c r="N354">
        <v>334</v>
      </c>
      <c r="O354">
        <v>100.83799999999999</v>
      </c>
      <c r="P354">
        <v>316</v>
      </c>
      <c r="Q354">
        <v>121.251</v>
      </c>
      <c r="R354">
        <v>353</v>
      </c>
      <c r="S354">
        <v>112.996</v>
      </c>
      <c r="T354">
        <v>293</v>
      </c>
      <c r="U354">
        <v>70.727199999999996</v>
      </c>
      <c r="V354">
        <v>64</v>
      </c>
      <c r="W354">
        <v>70.656599999999997</v>
      </c>
      <c r="X354">
        <v>26</v>
      </c>
      <c r="Y354">
        <v>0.1028</v>
      </c>
      <c r="Z354">
        <v>13</v>
      </c>
      <c r="AA354">
        <v>-12.826499999999999</v>
      </c>
      <c r="AB354">
        <v>363</v>
      </c>
      <c r="AC354">
        <v>100.611</v>
      </c>
      <c r="AD354">
        <v>364</v>
      </c>
      <c r="AE354">
        <v>113.438</v>
      </c>
      <c r="AF354">
        <v>335</v>
      </c>
      <c r="AG354">
        <v>-1.6014999999999999</v>
      </c>
      <c r="AH354">
        <v>227</v>
      </c>
      <c r="AJ354">
        <v>16.54</v>
      </c>
      <c r="AK354">
        <v>62</v>
      </c>
      <c r="AL354">
        <v>17.52</v>
      </c>
      <c r="AM354">
        <v>178</v>
      </c>
      <c r="AN354">
        <v>15.62</v>
      </c>
      <c r="AO354">
        <v>1</v>
      </c>
      <c r="AP354">
        <v>17.73</v>
      </c>
      <c r="AQ354">
        <v>5</v>
      </c>
    </row>
    <row r="355" spans="1:43" x14ac:dyDescent="0.2">
      <c r="A355" t="s">
        <v>1782</v>
      </c>
      <c r="B355">
        <v>2026</v>
      </c>
      <c r="C355" t="s">
        <v>509</v>
      </c>
      <c r="D355">
        <v>0</v>
      </c>
      <c r="E355" t="s">
        <v>1123</v>
      </c>
      <c r="F355" t="s">
        <v>2136</v>
      </c>
      <c r="G355">
        <v>7</v>
      </c>
      <c r="H355">
        <v>24</v>
      </c>
      <c r="I355">
        <v>-22.239100000000001</v>
      </c>
      <c r="J355">
        <v>354</v>
      </c>
      <c r="K355">
        <v>8.9800000000000005E-2</v>
      </c>
      <c r="L355">
        <v>354</v>
      </c>
      <c r="M355">
        <v>99.662400000000005</v>
      </c>
      <c r="N355">
        <v>330</v>
      </c>
      <c r="O355">
        <v>99.766900000000007</v>
      </c>
      <c r="P355">
        <v>330</v>
      </c>
      <c r="Q355">
        <v>121.902</v>
      </c>
      <c r="R355">
        <v>357</v>
      </c>
      <c r="S355">
        <v>117.86799999999999</v>
      </c>
      <c r="T355">
        <v>347</v>
      </c>
      <c r="U355">
        <v>69.987700000000004</v>
      </c>
      <c r="V355">
        <v>95</v>
      </c>
      <c r="W355">
        <v>69.974900000000005</v>
      </c>
      <c r="X355">
        <v>46</v>
      </c>
      <c r="Y355">
        <v>-2.5000000000000001E-2</v>
      </c>
      <c r="Z355">
        <v>254</v>
      </c>
      <c r="AA355">
        <v>-6.8085000000000004</v>
      </c>
      <c r="AB355">
        <v>296</v>
      </c>
      <c r="AC355">
        <v>105.102</v>
      </c>
      <c r="AD355">
        <v>303</v>
      </c>
      <c r="AE355">
        <v>111.91</v>
      </c>
      <c r="AF355">
        <v>265</v>
      </c>
      <c r="AG355">
        <v>7.3571999999999997</v>
      </c>
      <c r="AH355">
        <v>41</v>
      </c>
      <c r="AJ355">
        <v>17.05</v>
      </c>
      <c r="AK355">
        <v>109</v>
      </c>
      <c r="AL355">
        <v>17.2</v>
      </c>
      <c r="AM355">
        <v>102</v>
      </c>
      <c r="AN355">
        <v>16.64</v>
      </c>
      <c r="AO355">
        <v>2</v>
      </c>
      <c r="AP355">
        <v>18.13</v>
      </c>
      <c r="AQ355">
        <v>4</v>
      </c>
    </row>
    <row r="356" spans="1:43" x14ac:dyDescent="0.2">
      <c r="A356" t="s">
        <v>1782</v>
      </c>
      <c r="B356">
        <v>2026</v>
      </c>
      <c r="C356" t="s">
        <v>67</v>
      </c>
      <c r="D356">
        <v>0</v>
      </c>
      <c r="E356" t="s">
        <v>1101</v>
      </c>
      <c r="F356" t="s">
        <v>2137</v>
      </c>
      <c r="G356">
        <v>9</v>
      </c>
      <c r="H356">
        <v>22</v>
      </c>
      <c r="I356">
        <v>-22.984999999999999</v>
      </c>
      <c r="J356">
        <v>355</v>
      </c>
      <c r="K356">
        <v>7.9299999999999995E-2</v>
      </c>
      <c r="L356">
        <v>355</v>
      </c>
      <c r="M356">
        <v>96.715900000000005</v>
      </c>
      <c r="N356">
        <v>347</v>
      </c>
      <c r="O356">
        <v>96.497699999999995</v>
      </c>
      <c r="P356">
        <v>350</v>
      </c>
      <c r="Q356">
        <v>119.70099999999999</v>
      </c>
      <c r="R356">
        <v>344</v>
      </c>
      <c r="S356">
        <v>112.613</v>
      </c>
      <c r="T356">
        <v>282</v>
      </c>
      <c r="U356">
        <v>64.451300000000003</v>
      </c>
      <c r="V356">
        <v>343</v>
      </c>
      <c r="W356">
        <v>64.218800000000002</v>
      </c>
      <c r="X356">
        <v>333</v>
      </c>
      <c r="Y356">
        <v>9.4000000000000004E-3</v>
      </c>
      <c r="Z356">
        <v>159</v>
      </c>
      <c r="AA356">
        <v>-7.9660000000000002</v>
      </c>
      <c r="AB356">
        <v>318</v>
      </c>
      <c r="AC356">
        <v>103.68899999999999</v>
      </c>
      <c r="AD356">
        <v>335</v>
      </c>
      <c r="AE356">
        <v>111.655</v>
      </c>
      <c r="AF356">
        <v>248</v>
      </c>
      <c r="AG356">
        <v>2.4506000000000001</v>
      </c>
      <c r="AH356">
        <v>115</v>
      </c>
      <c r="AJ356">
        <v>19.53</v>
      </c>
      <c r="AK356">
        <v>356</v>
      </c>
      <c r="AL356">
        <v>17.579999999999998</v>
      </c>
      <c r="AM356">
        <v>192</v>
      </c>
      <c r="AN356">
        <v>20.18</v>
      </c>
      <c r="AO356">
        <v>9</v>
      </c>
      <c r="AP356">
        <v>17.62</v>
      </c>
      <c r="AQ356">
        <v>1</v>
      </c>
    </row>
    <row r="357" spans="1:43" x14ac:dyDescent="0.2">
      <c r="A357" t="s">
        <v>1782</v>
      </c>
      <c r="B357">
        <v>2026</v>
      </c>
      <c r="C357" t="s">
        <v>543</v>
      </c>
      <c r="D357">
        <v>0</v>
      </c>
      <c r="E357" t="s">
        <v>1113</v>
      </c>
      <c r="F357" t="s">
        <v>2138</v>
      </c>
      <c r="G357">
        <v>10</v>
      </c>
      <c r="H357">
        <v>21</v>
      </c>
      <c r="I357">
        <v>-23.455300000000001</v>
      </c>
      <c r="J357">
        <v>356</v>
      </c>
      <c r="K357">
        <v>7.4499999999999997E-2</v>
      </c>
      <c r="L357">
        <v>356</v>
      </c>
      <c r="M357">
        <v>95.736699999999999</v>
      </c>
      <c r="N357">
        <v>353</v>
      </c>
      <c r="O357">
        <v>96.746799999999993</v>
      </c>
      <c r="P357">
        <v>347</v>
      </c>
      <c r="Q357">
        <v>119.19199999999999</v>
      </c>
      <c r="R357">
        <v>341</v>
      </c>
      <c r="S357">
        <v>114.732</v>
      </c>
      <c r="T357">
        <v>321</v>
      </c>
      <c r="U357">
        <v>70.147400000000005</v>
      </c>
      <c r="V357">
        <v>88</v>
      </c>
      <c r="W357">
        <v>68.4953</v>
      </c>
      <c r="X357">
        <v>119</v>
      </c>
      <c r="Y357">
        <v>3.6700000000000003E-2</v>
      </c>
      <c r="Z357">
        <v>98</v>
      </c>
      <c r="AA357">
        <v>-9.2035</v>
      </c>
      <c r="AB357">
        <v>339</v>
      </c>
      <c r="AC357">
        <v>103.90300000000001</v>
      </c>
      <c r="AD357">
        <v>329</v>
      </c>
      <c r="AE357">
        <v>113.107</v>
      </c>
      <c r="AF357">
        <v>320</v>
      </c>
      <c r="AG357">
        <v>3.2728999999999999</v>
      </c>
      <c r="AH357">
        <v>101</v>
      </c>
      <c r="AJ357">
        <v>18.41</v>
      </c>
      <c r="AK357">
        <v>278</v>
      </c>
      <c r="AL357">
        <v>16.02</v>
      </c>
      <c r="AM357">
        <v>3</v>
      </c>
      <c r="AN357">
        <v>18.739999999999998</v>
      </c>
      <c r="AO357">
        <v>7</v>
      </c>
      <c r="AP357">
        <v>16.579999999999998</v>
      </c>
      <c r="AQ357">
        <v>1</v>
      </c>
    </row>
    <row r="358" spans="1:43" x14ac:dyDescent="0.2">
      <c r="A358" t="s">
        <v>1782</v>
      </c>
      <c r="B358">
        <v>2026</v>
      </c>
      <c r="C358" t="s">
        <v>495</v>
      </c>
      <c r="D358">
        <v>0</v>
      </c>
      <c r="E358" t="s">
        <v>1084</v>
      </c>
      <c r="F358" t="s">
        <v>2139</v>
      </c>
      <c r="G358">
        <v>4</v>
      </c>
      <c r="H358">
        <v>25</v>
      </c>
      <c r="I358">
        <v>-24.465</v>
      </c>
      <c r="J358">
        <v>357</v>
      </c>
      <c r="K358">
        <v>6.8199999999999997E-2</v>
      </c>
      <c r="L358">
        <v>357</v>
      </c>
      <c r="M358">
        <v>95.826700000000002</v>
      </c>
      <c r="N358">
        <v>351</v>
      </c>
      <c r="O358">
        <v>95.264200000000002</v>
      </c>
      <c r="P358">
        <v>355</v>
      </c>
      <c r="Q358">
        <v>120.292</v>
      </c>
      <c r="R358">
        <v>349</v>
      </c>
      <c r="S358">
        <v>116.646</v>
      </c>
      <c r="T358">
        <v>343</v>
      </c>
      <c r="U358">
        <v>65.696899999999999</v>
      </c>
      <c r="V358">
        <v>311</v>
      </c>
      <c r="W358">
        <v>65.784300000000002</v>
      </c>
      <c r="X358">
        <v>267</v>
      </c>
      <c r="Y358">
        <v>-2.35E-2</v>
      </c>
      <c r="Z358">
        <v>250</v>
      </c>
      <c r="AA358">
        <v>-5.0431999999999997</v>
      </c>
      <c r="AB358">
        <v>265</v>
      </c>
      <c r="AC358">
        <v>105.699</v>
      </c>
      <c r="AD358">
        <v>296</v>
      </c>
      <c r="AE358">
        <v>110.742</v>
      </c>
      <c r="AF358">
        <v>211</v>
      </c>
      <c r="AG358">
        <v>10.796799999999999</v>
      </c>
      <c r="AH358">
        <v>15</v>
      </c>
      <c r="AJ358">
        <v>19.239999999999998</v>
      </c>
      <c r="AK358">
        <v>345</v>
      </c>
      <c r="AL358">
        <v>17.38</v>
      </c>
      <c r="AM358">
        <v>146</v>
      </c>
      <c r="AN358">
        <v>19.2</v>
      </c>
      <c r="AO358">
        <v>12</v>
      </c>
      <c r="AP358">
        <v>17.89</v>
      </c>
      <c r="AQ358">
        <v>3</v>
      </c>
    </row>
    <row r="359" spans="1:43" x14ac:dyDescent="0.2">
      <c r="A359" t="s">
        <v>1782</v>
      </c>
      <c r="B359">
        <v>2026</v>
      </c>
      <c r="C359" t="s">
        <v>269</v>
      </c>
      <c r="D359">
        <v>0</v>
      </c>
      <c r="E359" t="s">
        <v>1006</v>
      </c>
      <c r="F359" t="s">
        <v>2140</v>
      </c>
      <c r="G359">
        <v>4</v>
      </c>
      <c r="H359">
        <v>27</v>
      </c>
      <c r="I359">
        <v>-25.071200000000001</v>
      </c>
      <c r="J359">
        <v>358</v>
      </c>
      <c r="K359">
        <v>5.9200000000000003E-2</v>
      </c>
      <c r="L359">
        <v>360</v>
      </c>
      <c r="M359">
        <v>92.201499999999996</v>
      </c>
      <c r="N359">
        <v>360</v>
      </c>
      <c r="O359">
        <v>93.438699999999997</v>
      </c>
      <c r="P359">
        <v>361</v>
      </c>
      <c r="Q359">
        <v>117.273</v>
      </c>
      <c r="R359">
        <v>319</v>
      </c>
      <c r="S359">
        <v>118.099</v>
      </c>
      <c r="T359">
        <v>349</v>
      </c>
      <c r="U359">
        <v>71.427400000000006</v>
      </c>
      <c r="V359">
        <v>37</v>
      </c>
      <c r="W359">
        <v>69.8172</v>
      </c>
      <c r="X359">
        <v>57</v>
      </c>
      <c r="Y359">
        <v>-1.7399999999999999E-2</v>
      </c>
      <c r="Z359">
        <v>229</v>
      </c>
      <c r="AA359">
        <v>-1.6106</v>
      </c>
      <c r="AB359">
        <v>190</v>
      </c>
      <c r="AC359">
        <v>110.191</v>
      </c>
      <c r="AD359">
        <v>119</v>
      </c>
      <c r="AE359">
        <v>111.801</v>
      </c>
      <c r="AF359">
        <v>260</v>
      </c>
      <c r="AG359">
        <v>5.9218999999999999</v>
      </c>
      <c r="AH359">
        <v>54</v>
      </c>
      <c r="AJ359">
        <v>17.3</v>
      </c>
      <c r="AK359">
        <v>151</v>
      </c>
      <c r="AL359">
        <v>16.350000000000001</v>
      </c>
      <c r="AM359">
        <v>7</v>
      </c>
      <c r="AN359">
        <v>17.149999999999999</v>
      </c>
      <c r="AO359">
        <v>2</v>
      </c>
      <c r="AP359">
        <v>16.829999999999998</v>
      </c>
      <c r="AQ359">
        <v>1</v>
      </c>
    </row>
    <row r="360" spans="1:43" x14ac:dyDescent="0.2">
      <c r="A360" t="s">
        <v>1782</v>
      </c>
      <c r="B360">
        <v>2026</v>
      </c>
      <c r="C360" t="s">
        <v>53</v>
      </c>
      <c r="D360">
        <v>0</v>
      </c>
      <c r="E360" t="s">
        <v>1101</v>
      </c>
      <c r="F360" t="s">
        <v>2141</v>
      </c>
      <c r="G360">
        <v>8</v>
      </c>
      <c r="H360">
        <v>23</v>
      </c>
      <c r="I360">
        <v>-25.492999999999999</v>
      </c>
      <c r="J360">
        <v>359</v>
      </c>
      <c r="K360">
        <v>6.5100000000000005E-2</v>
      </c>
      <c r="L360">
        <v>358</v>
      </c>
      <c r="M360">
        <v>97.739000000000004</v>
      </c>
      <c r="N360">
        <v>343</v>
      </c>
      <c r="O360">
        <v>100.464</v>
      </c>
      <c r="P360">
        <v>322</v>
      </c>
      <c r="Q360">
        <v>123.232</v>
      </c>
      <c r="R360">
        <v>361</v>
      </c>
      <c r="S360">
        <v>115.158</v>
      </c>
      <c r="T360">
        <v>325</v>
      </c>
      <c r="U360">
        <v>65.107200000000006</v>
      </c>
      <c r="V360">
        <v>331</v>
      </c>
      <c r="W360">
        <v>65.308499999999995</v>
      </c>
      <c r="X360">
        <v>294</v>
      </c>
      <c r="Y360">
        <v>-1.9199999999999998E-2</v>
      </c>
      <c r="Z360">
        <v>237</v>
      </c>
      <c r="AA360">
        <v>-12.3103</v>
      </c>
      <c r="AB360">
        <v>362</v>
      </c>
      <c r="AC360">
        <v>101.794</v>
      </c>
      <c r="AD360">
        <v>361</v>
      </c>
      <c r="AE360">
        <v>114.105</v>
      </c>
      <c r="AF360">
        <v>350</v>
      </c>
      <c r="AG360">
        <v>-8.2410999999999994</v>
      </c>
      <c r="AH360">
        <v>348</v>
      </c>
      <c r="AJ360">
        <v>19.239999999999998</v>
      </c>
      <c r="AK360">
        <v>343</v>
      </c>
      <c r="AL360">
        <v>17.37</v>
      </c>
      <c r="AM360">
        <v>140</v>
      </c>
      <c r="AN360">
        <v>19.440000000000001</v>
      </c>
      <c r="AO360">
        <v>7</v>
      </c>
      <c r="AP360">
        <v>17.940000000000001</v>
      </c>
      <c r="AQ360">
        <v>3</v>
      </c>
    </row>
    <row r="361" spans="1:43" x14ac:dyDescent="0.2">
      <c r="A361" t="s">
        <v>1782</v>
      </c>
      <c r="B361">
        <v>2026</v>
      </c>
      <c r="C361" t="s">
        <v>673</v>
      </c>
      <c r="D361">
        <v>0</v>
      </c>
      <c r="E361" t="s">
        <v>1071</v>
      </c>
      <c r="F361" t="s">
        <v>2142</v>
      </c>
      <c r="G361">
        <v>6</v>
      </c>
      <c r="H361">
        <v>26</v>
      </c>
      <c r="I361">
        <v>-26.2547</v>
      </c>
      <c r="J361">
        <v>360</v>
      </c>
      <c r="K361">
        <v>6.2300000000000001E-2</v>
      </c>
      <c r="L361">
        <v>359</v>
      </c>
      <c r="M361">
        <v>98.765600000000006</v>
      </c>
      <c r="N361">
        <v>338</v>
      </c>
      <c r="O361">
        <v>101.364</v>
      </c>
      <c r="P361">
        <v>310</v>
      </c>
      <c r="Q361">
        <v>125.02</v>
      </c>
      <c r="R361">
        <v>364</v>
      </c>
      <c r="S361">
        <v>123.288</v>
      </c>
      <c r="T361">
        <v>362</v>
      </c>
      <c r="U361">
        <v>67.569800000000001</v>
      </c>
      <c r="V361">
        <v>219</v>
      </c>
      <c r="W361">
        <v>66.761200000000002</v>
      </c>
      <c r="X361">
        <v>217</v>
      </c>
      <c r="Y361">
        <v>-1.11E-2</v>
      </c>
      <c r="Z361">
        <v>215</v>
      </c>
      <c r="AA361">
        <v>-5.7302</v>
      </c>
      <c r="AB361">
        <v>278</v>
      </c>
      <c r="AC361">
        <v>108.408</v>
      </c>
      <c r="AD361">
        <v>207</v>
      </c>
      <c r="AE361">
        <v>114.13800000000001</v>
      </c>
      <c r="AF361">
        <v>351</v>
      </c>
      <c r="AG361">
        <v>-2.0638000000000001</v>
      </c>
      <c r="AH361">
        <v>242</v>
      </c>
      <c r="AJ361">
        <v>18.28</v>
      </c>
      <c r="AK361">
        <v>265</v>
      </c>
      <c r="AL361">
        <v>16.940000000000001</v>
      </c>
      <c r="AM361">
        <v>58</v>
      </c>
      <c r="AN361">
        <v>18.16</v>
      </c>
      <c r="AO361">
        <v>6</v>
      </c>
      <c r="AP361">
        <v>17.52</v>
      </c>
      <c r="AQ361">
        <v>2</v>
      </c>
    </row>
    <row r="362" spans="1:43" x14ac:dyDescent="0.2">
      <c r="A362" t="s">
        <v>1782</v>
      </c>
      <c r="B362">
        <v>2026</v>
      </c>
      <c r="C362" t="s">
        <v>195</v>
      </c>
      <c r="D362">
        <v>0</v>
      </c>
      <c r="E362" t="s">
        <v>987</v>
      </c>
      <c r="F362" t="s">
        <v>2143</v>
      </c>
      <c r="G362">
        <v>4</v>
      </c>
      <c r="H362">
        <v>29</v>
      </c>
      <c r="I362">
        <v>-26.406400000000001</v>
      </c>
      <c r="J362">
        <v>361</v>
      </c>
      <c r="K362">
        <v>5.7200000000000001E-2</v>
      </c>
      <c r="L362">
        <v>361</v>
      </c>
      <c r="M362">
        <v>95.721400000000003</v>
      </c>
      <c r="N362">
        <v>354</v>
      </c>
      <c r="O362">
        <v>93.5471</v>
      </c>
      <c r="P362">
        <v>360</v>
      </c>
      <c r="Q362">
        <v>122.128</v>
      </c>
      <c r="R362">
        <v>359</v>
      </c>
      <c r="S362">
        <v>122.152</v>
      </c>
      <c r="T362">
        <v>361</v>
      </c>
      <c r="U362">
        <v>70.777500000000003</v>
      </c>
      <c r="V362">
        <v>63</v>
      </c>
      <c r="W362">
        <v>69.216700000000003</v>
      </c>
      <c r="X362">
        <v>82</v>
      </c>
      <c r="Y362">
        <v>-1.4E-3</v>
      </c>
      <c r="Z362">
        <v>195</v>
      </c>
      <c r="AA362">
        <v>-1.2823</v>
      </c>
      <c r="AB362">
        <v>182</v>
      </c>
      <c r="AC362">
        <v>108.727</v>
      </c>
      <c r="AD362">
        <v>188</v>
      </c>
      <c r="AE362">
        <v>110.009</v>
      </c>
      <c r="AF362">
        <v>183</v>
      </c>
      <c r="AG362">
        <v>5.2583000000000002</v>
      </c>
      <c r="AH362">
        <v>65</v>
      </c>
      <c r="AJ362">
        <v>16.91</v>
      </c>
      <c r="AK362">
        <v>98</v>
      </c>
      <c r="AL362">
        <v>17.05</v>
      </c>
      <c r="AM362">
        <v>76</v>
      </c>
      <c r="AN362">
        <v>17</v>
      </c>
      <c r="AO362">
        <v>4</v>
      </c>
      <c r="AP362">
        <v>17.309999999999999</v>
      </c>
      <c r="AQ362">
        <v>5</v>
      </c>
    </row>
    <row r="363" spans="1:43" x14ac:dyDescent="0.2">
      <c r="A363" t="s">
        <v>1782</v>
      </c>
      <c r="B363">
        <v>2026</v>
      </c>
      <c r="C363" t="s">
        <v>141</v>
      </c>
      <c r="D363">
        <v>0</v>
      </c>
      <c r="E363" t="s">
        <v>1113</v>
      </c>
      <c r="F363" t="s">
        <v>2144</v>
      </c>
      <c r="G363">
        <v>8</v>
      </c>
      <c r="H363">
        <v>22</v>
      </c>
      <c r="I363">
        <v>-27.005800000000001</v>
      </c>
      <c r="J363">
        <v>362</v>
      </c>
      <c r="K363">
        <v>4.3499999999999997E-2</v>
      </c>
      <c r="L363">
        <v>364</v>
      </c>
      <c r="M363">
        <v>87.553100000000001</v>
      </c>
      <c r="N363">
        <v>365</v>
      </c>
      <c r="O363">
        <v>89.601399999999998</v>
      </c>
      <c r="P363">
        <v>365</v>
      </c>
      <c r="Q363">
        <v>114.559</v>
      </c>
      <c r="R363">
        <v>283</v>
      </c>
      <c r="S363">
        <v>107.313</v>
      </c>
      <c r="T363">
        <v>142</v>
      </c>
      <c r="U363">
        <v>66.409700000000001</v>
      </c>
      <c r="V363">
        <v>282</v>
      </c>
      <c r="W363">
        <v>65.655699999999996</v>
      </c>
      <c r="X363">
        <v>275</v>
      </c>
      <c r="Y363">
        <v>-6.4000000000000003E-3</v>
      </c>
      <c r="Z363">
        <v>207</v>
      </c>
      <c r="AA363">
        <v>-11.293699999999999</v>
      </c>
      <c r="AB363">
        <v>358</v>
      </c>
      <c r="AC363">
        <v>102.541</v>
      </c>
      <c r="AD363">
        <v>357</v>
      </c>
      <c r="AE363">
        <v>113.834</v>
      </c>
      <c r="AF363">
        <v>346</v>
      </c>
      <c r="AG363">
        <v>1.7726</v>
      </c>
      <c r="AH363">
        <v>130</v>
      </c>
      <c r="AJ363">
        <v>18.850000000000001</v>
      </c>
      <c r="AK363">
        <v>319</v>
      </c>
      <c r="AL363">
        <v>17.04</v>
      </c>
      <c r="AM363">
        <v>74</v>
      </c>
      <c r="AN363">
        <v>18.7</v>
      </c>
      <c r="AO363">
        <v>6</v>
      </c>
      <c r="AP363">
        <v>17.579999999999998</v>
      </c>
      <c r="AQ363">
        <v>4</v>
      </c>
    </row>
    <row r="364" spans="1:43" x14ac:dyDescent="0.2">
      <c r="A364" t="s">
        <v>1782</v>
      </c>
      <c r="B364">
        <v>2026</v>
      </c>
      <c r="C364" t="s">
        <v>125</v>
      </c>
      <c r="D364">
        <v>0</v>
      </c>
      <c r="E364" t="s">
        <v>1113</v>
      </c>
      <c r="F364" t="s">
        <v>2145</v>
      </c>
      <c r="G364">
        <v>7</v>
      </c>
      <c r="H364">
        <v>24</v>
      </c>
      <c r="I364">
        <v>-27.614699999999999</v>
      </c>
      <c r="J364">
        <v>363</v>
      </c>
      <c r="K364">
        <v>4.6800000000000001E-2</v>
      </c>
      <c r="L364">
        <v>362</v>
      </c>
      <c r="M364">
        <v>92.1661</v>
      </c>
      <c r="N364">
        <v>361</v>
      </c>
      <c r="O364">
        <v>92.816299999999998</v>
      </c>
      <c r="P364">
        <v>362</v>
      </c>
      <c r="Q364">
        <v>119.78100000000001</v>
      </c>
      <c r="R364">
        <v>346</v>
      </c>
      <c r="S364">
        <v>116.489</v>
      </c>
      <c r="T364">
        <v>340</v>
      </c>
      <c r="U364">
        <v>69.059799999999996</v>
      </c>
      <c r="V364">
        <v>146</v>
      </c>
      <c r="W364">
        <v>67.983099999999993</v>
      </c>
      <c r="X364">
        <v>141</v>
      </c>
      <c r="Y364">
        <v>3.6799999999999999E-2</v>
      </c>
      <c r="Z364">
        <v>96</v>
      </c>
      <c r="AA364">
        <v>-7.6502999999999997</v>
      </c>
      <c r="AB364">
        <v>312</v>
      </c>
      <c r="AC364">
        <v>104.473</v>
      </c>
      <c r="AD364">
        <v>311</v>
      </c>
      <c r="AE364">
        <v>112.123</v>
      </c>
      <c r="AF364">
        <v>273</v>
      </c>
      <c r="AG364">
        <v>3.2751000000000001</v>
      </c>
      <c r="AH364">
        <v>100</v>
      </c>
      <c r="AJ364">
        <v>17.87</v>
      </c>
      <c r="AK364">
        <v>221</v>
      </c>
      <c r="AL364">
        <v>16.66</v>
      </c>
      <c r="AM364">
        <v>27</v>
      </c>
      <c r="AN364">
        <v>18.13</v>
      </c>
      <c r="AO364">
        <v>5</v>
      </c>
      <c r="AP364">
        <v>17.5</v>
      </c>
      <c r="AQ364">
        <v>2</v>
      </c>
    </row>
    <row r="365" spans="1:43" x14ac:dyDescent="0.2">
      <c r="A365" t="s">
        <v>1782</v>
      </c>
      <c r="B365">
        <v>2026</v>
      </c>
      <c r="C365" t="s">
        <v>703</v>
      </c>
      <c r="D365">
        <v>0</v>
      </c>
      <c r="E365" t="s">
        <v>1093</v>
      </c>
      <c r="F365" t="s">
        <v>2146</v>
      </c>
      <c r="G365">
        <v>5</v>
      </c>
      <c r="H365">
        <v>26</v>
      </c>
      <c r="I365">
        <v>-28.478100000000001</v>
      </c>
      <c r="J365">
        <v>364</v>
      </c>
      <c r="K365">
        <v>4.4299999999999999E-2</v>
      </c>
      <c r="L365">
        <v>363</v>
      </c>
      <c r="M365">
        <v>92.997799999999998</v>
      </c>
      <c r="N365">
        <v>359</v>
      </c>
      <c r="O365">
        <v>93.552199999999999</v>
      </c>
      <c r="P365">
        <v>359</v>
      </c>
      <c r="Q365">
        <v>121.476</v>
      </c>
      <c r="R365">
        <v>354</v>
      </c>
      <c r="S365">
        <v>116.383</v>
      </c>
      <c r="T365">
        <v>337</v>
      </c>
      <c r="U365">
        <v>67.319000000000003</v>
      </c>
      <c r="V365">
        <v>232</v>
      </c>
      <c r="W365">
        <v>66.590199999999996</v>
      </c>
      <c r="X365">
        <v>226</v>
      </c>
      <c r="Y365">
        <v>-5.2400000000000002E-2</v>
      </c>
      <c r="Z365">
        <v>311</v>
      </c>
      <c r="AA365">
        <v>-7.7210000000000001</v>
      </c>
      <c r="AB365">
        <v>314</v>
      </c>
      <c r="AC365">
        <v>103.657</v>
      </c>
      <c r="AD365">
        <v>336</v>
      </c>
      <c r="AE365">
        <v>111.378</v>
      </c>
      <c r="AF365">
        <v>236</v>
      </c>
      <c r="AG365">
        <v>-1.7676000000000001</v>
      </c>
      <c r="AH365">
        <v>235</v>
      </c>
      <c r="AJ365">
        <v>18.64</v>
      </c>
      <c r="AK365">
        <v>304</v>
      </c>
      <c r="AL365">
        <v>17.14</v>
      </c>
      <c r="AM365">
        <v>91</v>
      </c>
      <c r="AN365">
        <v>18.489999999999998</v>
      </c>
      <c r="AO365">
        <v>9</v>
      </c>
      <c r="AP365">
        <v>16.940000000000001</v>
      </c>
      <c r="AQ365">
        <v>1</v>
      </c>
    </row>
    <row r="366" spans="1:43" x14ac:dyDescent="0.2">
      <c r="A366" t="s">
        <v>1782</v>
      </c>
      <c r="B366">
        <v>2026</v>
      </c>
      <c r="C366" t="s">
        <v>361</v>
      </c>
      <c r="D366">
        <v>0</v>
      </c>
      <c r="E366" t="s">
        <v>1154</v>
      </c>
      <c r="F366" t="s">
        <v>2147</v>
      </c>
      <c r="G366">
        <v>3</v>
      </c>
      <c r="H366">
        <v>30</v>
      </c>
      <c r="I366">
        <v>-31.406700000000001</v>
      </c>
      <c r="J366">
        <v>365</v>
      </c>
      <c r="K366">
        <v>3.1399999999999997E-2</v>
      </c>
      <c r="L366">
        <v>365</v>
      </c>
      <c r="M366">
        <v>90.434700000000007</v>
      </c>
      <c r="N366">
        <v>364</v>
      </c>
      <c r="O366">
        <v>90.637</v>
      </c>
      <c r="P366">
        <v>364</v>
      </c>
      <c r="Q366">
        <v>121.84099999999999</v>
      </c>
      <c r="R366">
        <v>356</v>
      </c>
      <c r="S366">
        <v>119.194</v>
      </c>
      <c r="T366">
        <v>356</v>
      </c>
      <c r="U366">
        <v>69.695999999999998</v>
      </c>
      <c r="V366">
        <v>107</v>
      </c>
      <c r="W366">
        <v>66.971500000000006</v>
      </c>
      <c r="X366">
        <v>201</v>
      </c>
      <c r="Y366">
        <v>-2.5999999999999999E-2</v>
      </c>
      <c r="Z366">
        <v>256</v>
      </c>
      <c r="AA366">
        <v>-7.2173999999999996</v>
      </c>
      <c r="AB366">
        <v>304</v>
      </c>
      <c r="AC366">
        <v>105.056</v>
      </c>
      <c r="AD366">
        <v>304</v>
      </c>
      <c r="AE366">
        <v>112.274</v>
      </c>
      <c r="AF366">
        <v>284</v>
      </c>
      <c r="AG366">
        <v>5.7125000000000004</v>
      </c>
      <c r="AH366">
        <v>56</v>
      </c>
      <c r="AJ366">
        <v>17.98</v>
      </c>
      <c r="AK366">
        <v>235</v>
      </c>
      <c r="AL366">
        <v>16.46</v>
      </c>
      <c r="AM366">
        <v>10</v>
      </c>
      <c r="AN366">
        <v>17.72</v>
      </c>
      <c r="AO366">
        <v>9</v>
      </c>
      <c r="AP366">
        <v>17.079999999999998</v>
      </c>
      <c r="AQ366">
        <v>7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36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44" customWidth="1"/>
    <col min="2" max="2" width="32" customWidth="1"/>
  </cols>
  <sheetData>
    <row r="1" spans="1:2" x14ac:dyDescent="0.2">
      <c r="A1" s="6" t="s">
        <v>0</v>
      </c>
      <c r="B1" s="6" t="s">
        <v>1</v>
      </c>
    </row>
    <row r="2" spans="1:2" x14ac:dyDescent="0.2">
      <c r="A2" s="7" t="s">
        <v>2</v>
      </c>
      <c r="B2" s="7" t="s">
        <v>3</v>
      </c>
    </row>
    <row r="3" spans="1:2" x14ac:dyDescent="0.2">
      <c r="A3" s="8" t="s">
        <v>4</v>
      </c>
      <c r="B3" s="8" t="s">
        <v>5</v>
      </c>
    </row>
    <row r="4" spans="1:2" x14ac:dyDescent="0.2">
      <c r="A4" s="7" t="s">
        <v>6</v>
      </c>
      <c r="B4" s="7" t="s">
        <v>7</v>
      </c>
    </row>
    <row r="5" spans="1:2" x14ac:dyDescent="0.2">
      <c r="A5" s="8" t="s">
        <v>8</v>
      </c>
      <c r="B5" s="8" t="s">
        <v>9</v>
      </c>
    </row>
    <row r="6" spans="1:2" x14ac:dyDescent="0.2">
      <c r="A6" s="7" t="s">
        <v>10</v>
      </c>
      <c r="B6" s="7" t="s">
        <v>11</v>
      </c>
    </row>
    <row r="7" spans="1:2" x14ac:dyDescent="0.2">
      <c r="A7" s="8" t="s">
        <v>12</v>
      </c>
      <c r="B7" s="8" t="s">
        <v>13</v>
      </c>
    </row>
    <row r="8" spans="1:2" x14ac:dyDescent="0.2">
      <c r="A8" s="7" t="s">
        <v>14</v>
      </c>
      <c r="B8" s="7" t="s">
        <v>15</v>
      </c>
    </row>
    <row r="9" spans="1:2" x14ac:dyDescent="0.2">
      <c r="A9" s="8" t="s">
        <v>16</v>
      </c>
      <c r="B9" s="8" t="s">
        <v>17</v>
      </c>
    </row>
    <row r="10" spans="1:2" x14ac:dyDescent="0.2">
      <c r="A10" s="7" t="s">
        <v>18</v>
      </c>
      <c r="B10" s="7" t="s">
        <v>19</v>
      </c>
    </row>
    <row r="11" spans="1:2" x14ac:dyDescent="0.2">
      <c r="A11" s="8" t="s">
        <v>20</v>
      </c>
      <c r="B11" s="8" t="s">
        <v>21</v>
      </c>
    </row>
    <row r="12" spans="1:2" x14ac:dyDescent="0.2">
      <c r="A12" s="7" t="s">
        <v>22</v>
      </c>
      <c r="B12" s="7" t="s">
        <v>23</v>
      </c>
    </row>
    <row r="13" spans="1:2" x14ac:dyDescent="0.2">
      <c r="A13" s="8" t="s">
        <v>24</v>
      </c>
      <c r="B13" s="8" t="s">
        <v>25</v>
      </c>
    </row>
    <row r="14" spans="1:2" x14ac:dyDescent="0.2">
      <c r="A14" s="7" t="s">
        <v>26</v>
      </c>
      <c r="B14" s="7" t="s">
        <v>27</v>
      </c>
    </row>
    <row r="15" spans="1:2" x14ac:dyDescent="0.2">
      <c r="A15" s="8" t="s">
        <v>28</v>
      </c>
      <c r="B15" s="8" t="s">
        <v>29</v>
      </c>
    </row>
    <row r="16" spans="1:2" x14ac:dyDescent="0.2">
      <c r="A16" s="7" t="s">
        <v>30</v>
      </c>
      <c r="B16" s="7" t="s">
        <v>31</v>
      </c>
    </row>
    <row r="17" spans="1:2" x14ac:dyDescent="0.2">
      <c r="A17" s="8" t="s">
        <v>32</v>
      </c>
      <c r="B17" s="8" t="s">
        <v>33</v>
      </c>
    </row>
    <row r="18" spans="1:2" x14ac:dyDescent="0.2">
      <c r="A18" s="7" t="s">
        <v>34</v>
      </c>
      <c r="B18" s="7" t="s">
        <v>35</v>
      </c>
    </row>
    <row r="19" spans="1:2" x14ac:dyDescent="0.2">
      <c r="A19" s="8" t="s">
        <v>36</v>
      </c>
      <c r="B19" s="8" t="s">
        <v>37</v>
      </c>
    </row>
    <row r="20" spans="1:2" x14ac:dyDescent="0.2">
      <c r="A20" s="7" t="s">
        <v>38</v>
      </c>
      <c r="B20" s="7" t="s">
        <v>39</v>
      </c>
    </row>
    <row r="21" spans="1:2" x14ac:dyDescent="0.2">
      <c r="A21" s="8" t="s">
        <v>40</v>
      </c>
      <c r="B21" s="8" t="s">
        <v>41</v>
      </c>
    </row>
    <row r="22" spans="1:2" x14ac:dyDescent="0.2">
      <c r="A22" s="7" t="s">
        <v>42</v>
      </c>
      <c r="B22" s="7" t="s">
        <v>43</v>
      </c>
    </row>
    <row r="23" spans="1:2" x14ac:dyDescent="0.2">
      <c r="A23" s="8" t="s">
        <v>44</v>
      </c>
      <c r="B23" s="8" t="s">
        <v>45</v>
      </c>
    </row>
    <row r="24" spans="1:2" x14ac:dyDescent="0.2">
      <c r="A24" s="7" t="s">
        <v>46</v>
      </c>
      <c r="B24" s="7" t="s">
        <v>47</v>
      </c>
    </row>
    <row r="25" spans="1:2" x14ac:dyDescent="0.2">
      <c r="A25" s="8" t="s">
        <v>48</v>
      </c>
      <c r="B25" s="8" t="s">
        <v>49</v>
      </c>
    </row>
    <row r="26" spans="1:2" x14ac:dyDescent="0.2">
      <c r="A26" s="7" t="s">
        <v>50</v>
      </c>
      <c r="B26" s="7" t="s">
        <v>51</v>
      </c>
    </row>
    <row r="27" spans="1:2" x14ac:dyDescent="0.2">
      <c r="A27" s="8" t="s">
        <v>52</v>
      </c>
      <c r="B27" s="8" t="s">
        <v>53</v>
      </c>
    </row>
    <row r="28" spans="1:2" x14ac:dyDescent="0.2">
      <c r="A28" s="7" t="s">
        <v>54</v>
      </c>
      <c r="B28" s="7" t="s">
        <v>55</v>
      </c>
    </row>
    <row r="29" spans="1:2" x14ac:dyDescent="0.2">
      <c r="A29" s="8" t="s">
        <v>56</v>
      </c>
      <c r="B29" s="8" t="s">
        <v>57</v>
      </c>
    </row>
    <row r="30" spans="1:2" x14ac:dyDescent="0.2">
      <c r="A30" s="7" t="s">
        <v>58</v>
      </c>
      <c r="B30" s="7" t="s">
        <v>59</v>
      </c>
    </row>
    <row r="31" spans="1:2" x14ac:dyDescent="0.2">
      <c r="A31" s="8" t="s">
        <v>60</v>
      </c>
      <c r="B31" s="8" t="s">
        <v>61</v>
      </c>
    </row>
    <row r="32" spans="1:2" x14ac:dyDescent="0.2">
      <c r="A32" s="7" t="s">
        <v>62</v>
      </c>
      <c r="B32" s="7" t="s">
        <v>63</v>
      </c>
    </row>
    <row r="33" spans="1:2" x14ac:dyDescent="0.2">
      <c r="A33" s="8" t="s">
        <v>64</v>
      </c>
      <c r="B33" s="8" t="s">
        <v>65</v>
      </c>
    </row>
    <row r="34" spans="1:2" x14ac:dyDescent="0.2">
      <c r="A34" s="7" t="s">
        <v>66</v>
      </c>
      <c r="B34" s="7" t="s">
        <v>67</v>
      </c>
    </row>
    <row r="35" spans="1:2" x14ac:dyDescent="0.2">
      <c r="A35" s="8" t="s">
        <v>68</v>
      </c>
      <c r="B35" s="8" t="s">
        <v>69</v>
      </c>
    </row>
    <row r="36" spans="1:2" x14ac:dyDescent="0.2">
      <c r="A36" s="7" t="s">
        <v>70</v>
      </c>
      <c r="B36" s="7" t="s">
        <v>71</v>
      </c>
    </row>
    <row r="37" spans="1:2" x14ac:dyDescent="0.2">
      <c r="A37" s="8" t="s">
        <v>72</v>
      </c>
      <c r="B37" s="8" t="s">
        <v>73</v>
      </c>
    </row>
    <row r="38" spans="1:2" x14ac:dyDescent="0.2">
      <c r="A38" s="7" t="s">
        <v>74</v>
      </c>
      <c r="B38" s="7" t="s">
        <v>75</v>
      </c>
    </row>
    <row r="39" spans="1:2" x14ac:dyDescent="0.2">
      <c r="A39" s="8" t="s">
        <v>76</v>
      </c>
      <c r="B39" s="8" t="s">
        <v>77</v>
      </c>
    </row>
    <row r="40" spans="1:2" x14ac:dyDescent="0.2">
      <c r="A40" s="7" t="s">
        <v>78</v>
      </c>
      <c r="B40" s="7" t="s">
        <v>79</v>
      </c>
    </row>
    <row r="41" spans="1:2" x14ac:dyDescent="0.2">
      <c r="A41" s="8" t="s">
        <v>80</v>
      </c>
      <c r="B41" s="8" t="s">
        <v>81</v>
      </c>
    </row>
    <row r="42" spans="1:2" x14ac:dyDescent="0.2">
      <c r="A42" s="7" t="s">
        <v>82</v>
      </c>
      <c r="B42" s="7" t="s">
        <v>83</v>
      </c>
    </row>
    <row r="43" spans="1:2" x14ac:dyDescent="0.2">
      <c r="A43" s="8" t="s">
        <v>84</v>
      </c>
      <c r="B43" s="8" t="s">
        <v>85</v>
      </c>
    </row>
    <row r="44" spans="1:2" x14ac:dyDescent="0.2">
      <c r="A44" s="7" t="s">
        <v>86</v>
      </c>
      <c r="B44" s="7" t="s">
        <v>87</v>
      </c>
    </row>
    <row r="45" spans="1:2" x14ac:dyDescent="0.2">
      <c r="A45" s="8" t="s">
        <v>88</v>
      </c>
      <c r="B45" s="8" t="s">
        <v>89</v>
      </c>
    </row>
    <row r="46" spans="1:2" x14ac:dyDescent="0.2">
      <c r="A46" s="7" t="s">
        <v>90</v>
      </c>
      <c r="B46" s="7" t="s">
        <v>91</v>
      </c>
    </row>
    <row r="47" spans="1:2" x14ac:dyDescent="0.2">
      <c r="A47" s="8" t="s">
        <v>92</v>
      </c>
      <c r="B47" s="8" t="s">
        <v>93</v>
      </c>
    </row>
    <row r="48" spans="1:2" x14ac:dyDescent="0.2">
      <c r="A48" s="7" t="s">
        <v>94</v>
      </c>
      <c r="B48" s="7" t="s">
        <v>95</v>
      </c>
    </row>
    <row r="49" spans="1:2" x14ac:dyDescent="0.2">
      <c r="A49" s="8" t="s">
        <v>96</v>
      </c>
      <c r="B49" s="8" t="s">
        <v>97</v>
      </c>
    </row>
    <row r="50" spans="1:2" x14ac:dyDescent="0.2">
      <c r="A50" s="7" t="s">
        <v>98</v>
      </c>
      <c r="B50" s="7" t="s">
        <v>99</v>
      </c>
    </row>
    <row r="51" spans="1:2" x14ac:dyDescent="0.2">
      <c r="A51" s="8" t="s">
        <v>100</v>
      </c>
      <c r="B51" s="8" t="s">
        <v>101</v>
      </c>
    </row>
    <row r="52" spans="1:2" x14ac:dyDescent="0.2">
      <c r="A52" s="7" t="s">
        <v>102</v>
      </c>
      <c r="B52" s="7" t="s">
        <v>103</v>
      </c>
    </row>
    <row r="53" spans="1:2" x14ac:dyDescent="0.2">
      <c r="A53" s="8" t="s">
        <v>104</v>
      </c>
      <c r="B53" s="8" t="s">
        <v>105</v>
      </c>
    </row>
    <row r="54" spans="1:2" x14ac:dyDescent="0.2">
      <c r="A54" s="7" t="s">
        <v>106</v>
      </c>
      <c r="B54" s="7" t="s">
        <v>107</v>
      </c>
    </row>
    <row r="55" spans="1:2" x14ac:dyDescent="0.2">
      <c r="A55" s="8" t="s">
        <v>108</v>
      </c>
      <c r="B55" s="8" t="s">
        <v>109</v>
      </c>
    </row>
    <row r="56" spans="1:2" x14ac:dyDescent="0.2">
      <c r="A56" s="7" t="s">
        <v>110</v>
      </c>
      <c r="B56" s="7" t="s">
        <v>111</v>
      </c>
    </row>
    <row r="57" spans="1:2" x14ac:dyDescent="0.2">
      <c r="A57" s="8" t="s">
        <v>112</v>
      </c>
      <c r="B57" s="8" t="s">
        <v>113</v>
      </c>
    </row>
    <row r="58" spans="1:2" x14ac:dyDescent="0.2">
      <c r="A58" s="7" t="s">
        <v>114</v>
      </c>
      <c r="B58" s="7" t="s">
        <v>115</v>
      </c>
    </row>
    <row r="59" spans="1:2" x14ac:dyDescent="0.2">
      <c r="A59" s="8" t="s">
        <v>116</v>
      </c>
      <c r="B59" s="8" t="s">
        <v>117</v>
      </c>
    </row>
    <row r="60" spans="1:2" x14ac:dyDescent="0.2">
      <c r="A60" s="7" t="s">
        <v>118</v>
      </c>
      <c r="B60" s="7" t="s">
        <v>119</v>
      </c>
    </row>
    <row r="61" spans="1:2" x14ac:dyDescent="0.2">
      <c r="A61" s="8" t="s">
        <v>120</v>
      </c>
      <c r="B61" s="8" t="s">
        <v>121</v>
      </c>
    </row>
    <row r="62" spans="1:2" x14ac:dyDescent="0.2">
      <c r="A62" s="7" t="s">
        <v>122</v>
      </c>
      <c r="B62" s="7" t="s">
        <v>123</v>
      </c>
    </row>
    <row r="63" spans="1:2" x14ac:dyDescent="0.2">
      <c r="A63" s="8" t="s">
        <v>124</v>
      </c>
      <c r="B63" s="8" t="s">
        <v>125</v>
      </c>
    </row>
    <row r="64" spans="1:2" x14ac:dyDescent="0.2">
      <c r="A64" s="7" t="s">
        <v>126</v>
      </c>
      <c r="B64" s="7" t="s">
        <v>127</v>
      </c>
    </row>
    <row r="65" spans="1:2" x14ac:dyDescent="0.2">
      <c r="A65" s="8" t="s">
        <v>128</v>
      </c>
      <c r="B65" s="8" t="s">
        <v>129</v>
      </c>
    </row>
    <row r="66" spans="1:2" x14ac:dyDescent="0.2">
      <c r="A66" s="7" t="s">
        <v>130</v>
      </c>
      <c r="B66" s="7" t="s">
        <v>131</v>
      </c>
    </row>
    <row r="67" spans="1:2" x14ac:dyDescent="0.2">
      <c r="A67" s="8" t="s">
        <v>132</v>
      </c>
      <c r="B67" s="8" t="s">
        <v>133</v>
      </c>
    </row>
    <row r="68" spans="1:2" x14ac:dyDescent="0.2">
      <c r="A68" s="7" t="s">
        <v>134</v>
      </c>
      <c r="B68" s="7" t="s">
        <v>135</v>
      </c>
    </row>
    <row r="69" spans="1:2" x14ac:dyDescent="0.2">
      <c r="A69" s="8" t="s">
        <v>136</v>
      </c>
      <c r="B69" s="8" t="s">
        <v>137</v>
      </c>
    </row>
    <row r="70" spans="1:2" x14ac:dyDescent="0.2">
      <c r="A70" s="7" t="s">
        <v>138</v>
      </c>
      <c r="B70" s="7" t="s">
        <v>139</v>
      </c>
    </row>
    <row r="71" spans="1:2" x14ac:dyDescent="0.2">
      <c r="A71" s="8" t="s">
        <v>140</v>
      </c>
      <c r="B71" s="8" t="s">
        <v>141</v>
      </c>
    </row>
    <row r="72" spans="1:2" x14ac:dyDescent="0.2">
      <c r="A72" s="7" t="s">
        <v>142</v>
      </c>
      <c r="B72" s="7" t="s">
        <v>143</v>
      </c>
    </row>
    <row r="73" spans="1:2" x14ac:dyDescent="0.2">
      <c r="A73" s="8" t="s">
        <v>144</v>
      </c>
      <c r="B73" s="8" t="s">
        <v>145</v>
      </c>
    </row>
    <row r="74" spans="1:2" x14ac:dyDescent="0.2">
      <c r="A74" s="7" t="s">
        <v>146</v>
      </c>
      <c r="B74" s="7" t="s">
        <v>147</v>
      </c>
    </row>
    <row r="75" spans="1:2" x14ac:dyDescent="0.2">
      <c r="A75" s="8" t="s">
        <v>148</v>
      </c>
      <c r="B75" s="8" t="s">
        <v>149</v>
      </c>
    </row>
    <row r="76" spans="1:2" x14ac:dyDescent="0.2">
      <c r="A76" s="7" t="s">
        <v>150</v>
      </c>
      <c r="B76" s="7" t="s">
        <v>151</v>
      </c>
    </row>
    <row r="77" spans="1:2" x14ac:dyDescent="0.2">
      <c r="A77" s="8" t="s">
        <v>152</v>
      </c>
      <c r="B77" s="8" t="s">
        <v>153</v>
      </c>
    </row>
    <row r="78" spans="1:2" x14ac:dyDescent="0.2">
      <c r="A78" s="7" t="s">
        <v>154</v>
      </c>
      <c r="B78" s="7" t="s">
        <v>155</v>
      </c>
    </row>
    <row r="79" spans="1:2" x14ac:dyDescent="0.2">
      <c r="A79" s="8" t="s">
        <v>156</v>
      </c>
      <c r="B79" s="8" t="s">
        <v>157</v>
      </c>
    </row>
    <row r="80" spans="1:2" x14ac:dyDescent="0.2">
      <c r="A80" s="7" t="s">
        <v>158</v>
      </c>
      <c r="B80" s="7" t="s">
        <v>159</v>
      </c>
    </row>
    <row r="81" spans="1:2" x14ac:dyDescent="0.2">
      <c r="A81" s="8" t="s">
        <v>160</v>
      </c>
      <c r="B81" s="8" t="s">
        <v>161</v>
      </c>
    </row>
    <row r="82" spans="1:2" x14ac:dyDescent="0.2">
      <c r="A82" s="7" t="s">
        <v>162</v>
      </c>
      <c r="B82" s="7" t="s">
        <v>163</v>
      </c>
    </row>
    <row r="83" spans="1:2" x14ac:dyDescent="0.2">
      <c r="A83" s="8" t="s">
        <v>164</v>
      </c>
      <c r="B83" s="8" t="s">
        <v>165</v>
      </c>
    </row>
    <row r="84" spans="1:2" x14ac:dyDescent="0.2">
      <c r="A84" s="7" t="s">
        <v>166</v>
      </c>
      <c r="B84" s="7" t="s">
        <v>167</v>
      </c>
    </row>
    <row r="85" spans="1:2" x14ac:dyDescent="0.2">
      <c r="A85" s="8" t="s">
        <v>168</v>
      </c>
      <c r="B85" s="8" t="s">
        <v>169</v>
      </c>
    </row>
    <row r="86" spans="1:2" x14ac:dyDescent="0.2">
      <c r="A86" s="7" t="s">
        <v>170</v>
      </c>
      <c r="B86" s="7" t="s">
        <v>171</v>
      </c>
    </row>
    <row r="87" spans="1:2" x14ac:dyDescent="0.2">
      <c r="A87" s="8" t="s">
        <v>172</v>
      </c>
      <c r="B87" s="8" t="s">
        <v>173</v>
      </c>
    </row>
    <row r="88" spans="1:2" x14ac:dyDescent="0.2">
      <c r="A88" s="7" t="s">
        <v>174</v>
      </c>
      <c r="B88" s="7" t="s">
        <v>175</v>
      </c>
    </row>
    <row r="89" spans="1:2" x14ac:dyDescent="0.2">
      <c r="A89" s="8" t="s">
        <v>176</v>
      </c>
      <c r="B89" s="8" t="s">
        <v>177</v>
      </c>
    </row>
    <row r="90" spans="1:2" x14ac:dyDescent="0.2">
      <c r="A90" s="7" t="s">
        <v>178</v>
      </c>
      <c r="B90" s="7" t="s">
        <v>179</v>
      </c>
    </row>
    <row r="91" spans="1:2" x14ac:dyDescent="0.2">
      <c r="A91" s="8" t="s">
        <v>180</v>
      </c>
      <c r="B91" s="8" t="s">
        <v>181</v>
      </c>
    </row>
    <row r="92" spans="1:2" x14ac:dyDescent="0.2">
      <c r="A92" s="7" t="s">
        <v>182</v>
      </c>
      <c r="B92" s="7" t="s">
        <v>183</v>
      </c>
    </row>
    <row r="93" spans="1:2" x14ac:dyDescent="0.2">
      <c r="A93" s="8" t="s">
        <v>184</v>
      </c>
      <c r="B93" s="8" t="s">
        <v>185</v>
      </c>
    </row>
    <row r="94" spans="1:2" x14ac:dyDescent="0.2">
      <c r="A94" s="7" t="s">
        <v>186</v>
      </c>
      <c r="B94" s="7" t="s">
        <v>187</v>
      </c>
    </row>
    <row r="95" spans="1:2" x14ac:dyDescent="0.2">
      <c r="A95" s="8" t="s">
        <v>188</v>
      </c>
      <c r="B95" s="8" t="s">
        <v>189</v>
      </c>
    </row>
    <row r="96" spans="1:2" x14ac:dyDescent="0.2">
      <c r="A96" s="7" t="s">
        <v>190</v>
      </c>
      <c r="B96" s="7" t="s">
        <v>191</v>
      </c>
    </row>
    <row r="97" spans="1:2" x14ac:dyDescent="0.2">
      <c r="A97" s="8" t="s">
        <v>192</v>
      </c>
      <c r="B97" s="8" t="s">
        <v>193</v>
      </c>
    </row>
    <row r="98" spans="1:2" x14ac:dyDescent="0.2">
      <c r="A98" s="7" t="s">
        <v>194</v>
      </c>
      <c r="B98" s="7" t="s">
        <v>195</v>
      </c>
    </row>
    <row r="99" spans="1:2" x14ac:dyDescent="0.2">
      <c r="A99" s="8" t="s">
        <v>196</v>
      </c>
      <c r="B99" s="8" t="s">
        <v>197</v>
      </c>
    </row>
    <row r="100" spans="1:2" x14ac:dyDescent="0.2">
      <c r="A100" s="7" t="s">
        <v>198</v>
      </c>
      <c r="B100" s="7" t="s">
        <v>199</v>
      </c>
    </row>
    <row r="101" spans="1:2" x14ac:dyDescent="0.2">
      <c r="A101" s="8" t="s">
        <v>200</v>
      </c>
      <c r="B101" s="8" t="s">
        <v>201</v>
      </c>
    </row>
    <row r="102" spans="1:2" x14ac:dyDescent="0.2">
      <c r="A102" s="7" t="s">
        <v>202</v>
      </c>
      <c r="B102" s="7" t="s">
        <v>203</v>
      </c>
    </row>
    <row r="103" spans="1:2" x14ac:dyDescent="0.2">
      <c r="A103" s="8" t="s">
        <v>204</v>
      </c>
      <c r="B103" s="8" t="s">
        <v>205</v>
      </c>
    </row>
    <row r="104" spans="1:2" x14ac:dyDescent="0.2">
      <c r="A104" s="7" t="s">
        <v>206</v>
      </c>
      <c r="B104" s="7" t="s">
        <v>207</v>
      </c>
    </row>
    <row r="105" spans="1:2" x14ac:dyDescent="0.2">
      <c r="A105" s="8" t="s">
        <v>208</v>
      </c>
      <c r="B105" s="8" t="s">
        <v>209</v>
      </c>
    </row>
    <row r="106" spans="1:2" x14ac:dyDescent="0.2">
      <c r="A106" s="7" t="s">
        <v>210</v>
      </c>
      <c r="B106" s="7" t="s">
        <v>211</v>
      </c>
    </row>
    <row r="107" spans="1:2" x14ac:dyDescent="0.2">
      <c r="A107" s="8" t="s">
        <v>212</v>
      </c>
      <c r="B107" s="8" t="s">
        <v>213</v>
      </c>
    </row>
    <row r="108" spans="1:2" x14ac:dyDescent="0.2">
      <c r="A108" s="7" t="s">
        <v>214</v>
      </c>
      <c r="B108" s="7" t="s">
        <v>215</v>
      </c>
    </row>
    <row r="109" spans="1:2" x14ac:dyDescent="0.2">
      <c r="A109" s="8" t="s">
        <v>216</v>
      </c>
      <c r="B109" s="8" t="s">
        <v>217</v>
      </c>
    </row>
    <row r="110" spans="1:2" x14ac:dyDescent="0.2">
      <c r="A110" s="7" t="s">
        <v>218</v>
      </c>
      <c r="B110" s="7" t="s">
        <v>219</v>
      </c>
    </row>
    <row r="111" spans="1:2" x14ac:dyDescent="0.2">
      <c r="A111" s="8" t="s">
        <v>220</v>
      </c>
      <c r="B111" s="8" t="s">
        <v>221</v>
      </c>
    </row>
    <row r="112" spans="1:2" x14ac:dyDescent="0.2">
      <c r="A112" s="7" t="s">
        <v>222</v>
      </c>
      <c r="B112" s="7" t="s">
        <v>223</v>
      </c>
    </row>
    <row r="113" spans="1:2" x14ac:dyDescent="0.2">
      <c r="A113" s="8" t="s">
        <v>224</v>
      </c>
      <c r="B113" s="8" t="s">
        <v>225</v>
      </c>
    </row>
    <row r="114" spans="1:2" x14ac:dyDescent="0.2">
      <c r="A114" s="7" t="s">
        <v>226</v>
      </c>
      <c r="B114" s="7" t="s">
        <v>227</v>
      </c>
    </row>
    <row r="115" spans="1:2" x14ac:dyDescent="0.2">
      <c r="A115" s="8" t="s">
        <v>228</v>
      </c>
      <c r="B115" s="8" t="s">
        <v>229</v>
      </c>
    </row>
    <row r="116" spans="1:2" x14ac:dyDescent="0.2">
      <c r="A116" s="7" t="s">
        <v>230</v>
      </c>
      <c r="B116" s="7" t="s">
        <v>231</v>
      </c>
    </row>
    <row r="117" spans="1:2" x14ac:dyDescent="0.2">
      <c r="A117" s="8" t="s">
        <v>232</v>
      </c>
      <c r="B117" s="8" t="s">
        <v>233</v>
      </c>
    </row>
    <row r="118" spans="1:2" x14ac:dyDescent="0.2">
      <c r="A118" s="7" t="s">
        <v>234</v>
      </c>
      <c r="B118" s="7" t="s">
        <v>235</v>
      </c>
    </row>
    <row r="119" spans="1:2" x14ac:dyDescent="0.2">
      <c r="A119" s="8" t="s">
        <v>236</v>
      </c>
      <c r="B119" s="8" t="s">
        <v>237</v>
      </c>
    </row>
    <row r="120" spans="1:2" x14ac:dyDescent="0.2">
      <c r="A120" s="7" t="s">
        <v>238</v>
      </c>
      <c r="B120" s="7" t="s">
        <v>239</v>
      </c>
    </row>
    <row r="121" spans="1:2" x14ac:dyDescent="0.2">
      <c r="A121" s="8" t="s">
        <v>240</v>
      </c>
      <c r="B121" s="8" t="s">
        <v>241</v>
      </c>
    </row>
    <row r="122" spans="1:2" x14ac:dyDescent="0.2">
      <c r="A122" s="7" t="s">
        <v>242</v>
      </c>
      <c r="B122" s="7" t="s">
        <v>243</v>
      </c>
    </row>
    <row r="123" spans="1:2" x14ac:dyDescent="0.2">
      <c r="A123" s="8" t="s">
        <v>244</v>
      </c>
      <c r="B123" s="8" t="s">
        <v>245</v>
      </c>
    </row>
    <row r="124" spans="1:2" x14ac:dyDescent="0.2">
      <c r="A124" s="7" t="s">
        <v>246</v>
      </c>
      <c r="B124" s="7" t="s">
        <v>247</v>
      </c>
    </row>
    <row r="125" spans="1:2" x14ac:dyDescent="0.2">
      <c r="A125" s="8" t="s">
        <v>248</v>
      </c>
      <c r="B125" s="8" t="s">
        <v>249</v>
      </c>
    </row>
    <row r="126" spans="1:2" x14ac:dyDescent="0.2">
      <c r="A126" s="7" t="s">
        <v>250</v>
      </c>
      <c r="B126" s="7" t="s">
        <v>251</v>
      </c>
    </row>
    <row r="127" spans="1:2" x14ac:dyDescent="0.2">
      <c r="A127" s="8" t="s">
        <v>252</v>
      </c>
      <c r="B127" s="8" t="s">
        <v>253</v>
      </c>
    </row>
    <row r="128" spans="1:2" x14ac:dyDescent="0.2">
      <c r="A128" s="7" t="s">
        <v>254</v>
      </c>
      <c r="B128" s="7" t="s">
        <v>255</v>
      </c>
    </row>
    <row r="129" spans="1:2" x14ac:dyDescent="0.2">
      <c r="A129" s="8" t="s">
        <v>256</v>
      </c>
      <c r="B129" s="8" t="s">
        <v>257</v>
      </c>
    </row>
    <row r="130" spans="1:2" x14ac:dyDescent="0.2">
      <c r="A130" s="7" t="s">
        <v>258</v>
      </c>
      <c r="B130" s="7" t="s">
        <v>259</v>
      </c>
    </row>
    <row r="131" spans="1:2" x14ac:dyDescent="0.2">
      <c r="A131" s="8" t="s">
        <v>260</v>
      </c>
      <c r="B131" s="8" t="s">
        <v>261</v>
      </c>
    </row>
    <row r="132" spans="1:2" x14ac:dyDescent="0.2">
      <c r="A132" s="7" t="s">
        <v>262</v>
      </c>
      <c r="B132" s="7" t="s">
        <v>263</v>
      </c>
    </row>
    <row r="133" spans="1:2" x14ac:dyDescent="0.2">
      <c r="A133" s="8" t="s">
        <v>264</v>
      </c>
      <c r="B133" s="8" t="s">
        <v>265</v>
      </c>
    </row>
    <row r="134" spans="1:2" x14ac:dyDescent="0.2">
      <c r="A134" s="7" t="s">
        <v>266</v>
      </c>
      <c r="B134" s="7" t="s">
        <v>267</v>
      </c>
    </row>
    <row r="135" spans="1:2" x14ac:dyDescent="0.2">
      <c r="A135" s="8" t="s">
        <v>268</v>
      </c>
      <c r="B135" s="8" t="s">
        <v>269</v>
      </c>
    </row>
    <row r="136" spans="1:2" x14ac:dyDescent="0.2">
      <c r="A136" s="7" t="s">
        <v>270</v>
      </c>
      <c r="B136" s="7" t="s">
        <v>271</v>
      </c>
    </row>
    <row r="137" spans="1:2" x14ac:dyDescent="0.2">
      <c r="A137" s="8" t="s">
        <v>272</v>
      </c>
      <c r="B137" s="8" t="s">
        <v>273</v>
      </c>
    </row>
    <row r="138" spans="1:2" x14ac:dyDescent="0.2">
      <c r="A138" s="7" t="s">
        <v>274</v>
      </c>
      <c r="B138" s="7" t="s">
        <v>275</v>
      </c>
    </row>
    <row r="139" spans="1:2" x14ac:dyDescent="0.2">
      <c r="A139" s="8" t="s">
        <v>276</v>
      </c>
      <c r="B139" s="8" t="s">
        <v>277</v>
      </c>
    </row>
    <row r="140" spans="1:2" x14ac:dyDescent="0.2">
      <c r="A140" s="7" t="s">
        <v>278</v>
      </c>
      <c r="B140" s="7" t="s">
        <v>279</v>
      </c>
    </row>
    <row r="141" spans="1:2" x14ac:dyDescent="0.2">
      <c r="A141" s="8" t="s">
        <v>280</v>
      </c>
      <c r="B141" s="8" t="s">
        <v>281</v>
      </c>
    </row>
    <row r="142" spans="1:2" x14ac:dyDescent="0.2">
      <c r="A142" s="7" t="s">
        <v>282</v>
      </c>
      <c r="B142" s="7" t="s">
        <v>283</v>
      </c>
    </row>
    <row r="143" spans="1:2" x14ac:dyDescent="0.2">
      <c r="A143" s="8" t="s">
        <v>284</v>
      </c>
      <c r="B143" s="8" t="s">
        <v>285</v>
      </c>
    </row>
    <row r="144" spans="1:2" x14ac:dyDescent="0.2">
      <c r="A144" s="7" t="s">
        <v>286</v>
      </c>
      <c r="B144" s="7" t="s">
        <v>287</v>
      </c>
    </row>
    <row r="145" spans="1:2" x14ac:dyDescent="0.2">
      <c r="A145" s="8" t="s">
        <v>288</v>
      </c>
      <c r="B145" s="8" t="s">
        <v>289</v>
      </c>
    </row>
    <row r="146" spans="1:2" x14ac:dyDescent="0.2">
      <c r="A146" s="7" t="s">
        <v>290</v>
      </c>
      <c r="B146" s="7" t="s">
        <v>291</v>
      </c>
    </row>
    <row r="147" spans="1:2" x14ac:dyDescent="0.2">
      <c r="A147" s="8" t="s">
        <v>292</v>
      </c>
      <c r="B147" s="8" t="s">
        <v>293</v>
      </c>
    </row>
    <row r="148" spans="1:2" x14ac:dyDescent="0.2">
      <c r="A148" s="7" t="s">
        <v>294</v>
      </c>
      <c r="B148" s="7" t="s">
        <v>295</v>
      </c>
    </row>
    <row r="149" spans="1:2" x14ac:dyDescent="0.2">
      <c r="A149" s="8" t="s">
        <v>296</v>
      </c>
      <c r="B149" s="8" t="s">
        <v>297</v>
      </c>
    </row>
    <row r="150" spans="1:2" x14ac:dyDescent="0.2">
      <c r="A150" s="7" t="s">
        <v>298</v>
      </c>
      <c r="B150" s="7" t="s">
        <v>299</v>
      </c>
    </row>
    <row r="151" spans="1:2" x14ac:dyDescent="0.2">
      <c r="A151" s="8" t="s">
        <v>300</v>
      </c>
      <c r="B151" s="8" t="s">
        <v>301</v>
      </c>
    </row>
    <row r="152" spans="1:2" x14ac:dyDescent="0.2">
      <c r="A152" s="7" t="s">
        <v>302</v>
      </c>
      <c r="B152" s="7" t="s">
        <v>303</v>
      </c>
    </row>
    <row r="153" spans="1:2" x14ac:dyDescent="0.2">
      <c r="A153" s="8" t="s">
        <v>304</v>
      </c>
      <c r="B153" s="8" t="s">
        <v>305</v>
      </c>
    </row>
    <row r="154" spans="1:2" x14ac:dyDescent="0.2">
      <c r="A154" s="7" t="s">
        <v>306</v>
      </c>
      <c r="B154" s="7" t="s">
        <v>307</v>
      </c>
    </row>
    <row r="155" spans="1:2" x14ac:dyDescent="0.2">
      <c r="A155" s="8" t="s">
        <v>308</v>
      </c>
      <c r="B155" s="8" t="s">
        <v>309</v>
      </c>
    </row>
    <row r="156" spans="1:2" x14ac:dyDescent="0.2">
      <c r="A156" s="7" t="s">
        <v>310</v>
      </c>
      <c r="B156" s="7" t="s">
        <v>311</v>
      </c>
    </row>
    <row r="157" spans="1:2" x14ac:dyDescent="0.2">
      <c r="A157" s="8" t="s">
        <v>312</v>
      </c>
      <c r="B157" s="8" t="s">
        <v>313</v>
      </c>
    </row>
    <row r="158" spans="1:2" x14ac:dyDescent="0.2">
      <c r="A158" s="7" t="s">
        <v>314</v>
      </c>
      <c r="B158" s="7" t="s">
        <v>315</v>
      </c>
    </row>
    <row r="159" spans="1:2" x14ac:dyDescent="0.2">
      <c r="A159" s="8" t="s">
        <v>316</v>
      </c>
      <c r="B159" s="8" t="s">
        <v>317</v>
      </c>
    </row>
    <row r="160" spans="1:2" x14ac:dyDescent="0.2">
      <c r="A160" s="7" t="s">
        <v>318</v>
      </c>
      <c r="B160" s="7" t="s">
        <v>319</v>
      </c>
    </row>
    <row r="161" spans="1:2" x14ac:dyDescent="0.2">
      <c r="A161" s="8" t="s">
        <v>320</v>
      </c>
      <c r="B161" s="8" t="s">
        <v>321</v>
      </c>
    </row>
    <row r="162" spans="1:2" x14ac:dyDescent="0.2">
      <c r="A162" s="7" t="s">
        <v>322</v>
      </c>
      <c r="B162" s="7" t="s">
        <v>323</v>
      </c>
    </row>
    <row r="163" spans="1:2" x14ac:dyDescent="0.2">
      <c r="A163" s="8" t="s">
        <v>324</v>
      </c>
      <c r="B163" s="8" t="s">
        <v>325</v>
      </c>
    </row>
    <row r="164" spans="1:2" x14ac:dyDescent="0.2">
      <c r="A164" s="7" t="s">
        <v>326</v>
      </c>
      <c r="B164" s="7" t="s">
        <v>327</v>
      </c>
    </row>
    <row r="165" spans="1:2" x14ac:dyDescent="0.2">
      <c r="A165" s="8" t="s">
        <v>328</v>
      </c>
      <c r="B165" s="8" t="s">
        <v>329</v>
      </c>
    </row>
    <row r="166" spans="1:2" x14ac:dyDescent="0.2">
      <c r="A166" s="7" t="s">
        <v>330</v>
      </c>
      <c r="B166" s="7" t="s">
        <v>331</v>
      </c>
    </row>
    <row r="167" spans="1:2" x14ac:dyDescent="0.2">
      <c r="A167" s="8" t="s">
        <v>332</v>
      </c>
      <c r="B167" s="8" t="s">
        <v>333</v>
      </c>
    </row>
    <row r="168" spans="1:2" x14ac:dyDescent="0.2">
      <c r="A168" s="7" t="s">
        <v>334</v>
      </c>
      <c r="B168" s="7" t="s">
        <v>335</v>
      </c>
    </row>
    <row r="169" spans="1:2" x14ac:dyDescent="0.2">
      <c r="A169" s="8" t="s">
        <v>336</v>
      </c>
      <c r="B169" s="8" t="s">
        <v>337</v>
      </c>
    </row>
    <row r="170" spans="1:2" x14ac:dyDescent="0.2">
      <c r="A170" s="7" t="s">
        <v>338</v>
      </c>
      <c r="B170" s="7" t="s">
        <v>339</v>
      </c>
    </row>
    <row r="171" spans="1:2" x14ac:dyDescent="0.2">
      <c r="A171" s="8" t="s">
        <v>340</v>
      </c>
      <c r="B171" s="8" t="s">
        <v>341</v>
      </c>
    </row>
    <row r="172" spans="1:2" x14ac:dyDescent="0.2">
      <c r="A172" s="7" t="s">
        <v>342</v>
      </c>
      <c r="B172" s="7" t="s">
        <v>343</v>
      </c>
    </row>
    <row r="173" spans="1:2" x14ac:dyDescent="0.2">
      <c r="A173" s="8" t="s">
        <v>344</v>
      </c>
      <c r="B173" s="8" t="s">
        <v>345</v>
      </c>
    </row>
    <row r="174" spans="1:2" x14ac:dyDescent="0.2">
      <c r="A174" s="7" t="s">
        <v>346</v>
      </c>
      <c r="B174" s="7" t="s">
        <v>347</v>
      </c>
    </row>
    <row r="175" spans="1:2" x14ac:dyDescent="0.2">
      <c r="A175" s="8" t="s">
        <v>348</v>
      </c>
      <c r="B175" s="8" t="s">
        <v>349</v>
      </c>
    </row>
    <row r="176" spans="1:2" x14ac:dyDescent="0.2">
      <c r="A176" s="7" t="s">
        <v>350</v>
      </c>
      <c r="B176" s="7" t="s">
        <v>351</v>
      </c>
    </row>
    <row r="177" spans="1:2" x14ac:dyDescent="0.2">
      <c r="A177" s="8" t="s">
        <v>352</v>
      </c>
      <c r="B177" s="8" t="s">
        <v>353</v>
      </c>
    </row>
    <row r="178" spans="1:2" x14ac:dyDescent="0.2">
      <c r="A178" s="7" t="s">
        <v>354</v>
      </c>
      <c r="B178" s="7" t="s">
        <v>355</v>
      </c>
    </row>
    <row r="179" spans="1:2" x14ac:dyDescent="0.2">
      <c r="A179" s="8" t="s">
        <v>356</v>
      </c>
      <c r="B179" s="8" t="s">
        <v>357</v>
      </c>
    </row>
    <row r="180" spans="1:2" x14ac:dyDescent="0.2">
      <c r="A180" s="7" t="s">
        <v>358</v>
      </c>
      <c r="B180" s="7" t="s">
        <v>359</v>
      </c>
    </row>
    <row r="181" spans="1:2" x14ac:dyDescent="0.2">
      <c r="A181" s="8" t="s">
        <v>360</v>
      </c>
      <c r="B181" s="8" t="s">
        <v>361</v>
      </c>
    </row>
    <row r="182" spans="1:2" x14ac:dyDescent="0.2">
      <c r="A182" s="7" t="s">
        <v>362</v>
      </c>
      <c r="B182" s="7" t="s">
        <v>363</v>
      </c>
    </row>
    <row r="183" spans="1:2" x14ac:dyDescent="0.2">
      <c r="A183" s="8" t="s">
        <v>364</v>
      </c>
      <c r="B183" s="8" t="s">
        <v>365</v>
      </c>
    </row>
    <row r="184" spans="1:2" x14ac:dyDescent="0.2">
      <c r="A184" s="7" t="s">
        <v>366</v>
      </c>
      <c r="B184" s="7" t="s">
        <v>367</v>
      </c>
    </row>
    <row r="185" spans="1:2" x14ac:dyDescent="0.2">
      <c r="A185" s="8" t="s">
        <v>368</v>
      </c>
      <c r="B185" s="8" t="s">
        <v>369</v>
      </c>
    </row>
    <row r="186" spans="1:2" x14ac:dyDescent="0.2">
      <c r="A186" s="7" t="s">
        <v>370</v>
      </c>
      <c r="B186" s="7" t="s">
        <v>371</v>
      </c>
    </row>
    <row r="187" spans="1:2" x14ac:dyDescent="0.2">
      <c r="A187" s="8" t="s">
        <v>372</v>
      </c>
      <c r="B187" s="8" t="s">
        <v>373</v>
      </c>
    </row>
    <row r="188" spans="1:2" x14ac:dyDescent="0.2">
      <c r="A188" s="7" t="s">
        <v>374</v>
      </c>
      <c r="B188" s="7" t="s">
        <v>375</v>
      </c>
    </row>
    <row r="189" spans="1:2" x14ac:dyDescent="0.2">
      <c r="A189" s="8" t="s">
        <v>376</v>
      </c>
      <c r="B189" s="8" t="s">
        <v>377</v>
      </c>
    </row>
    <row r="190" spans="1:2" x14ac:dyDescent="0.2">
      <c r="A190" s="7" t="s">
        <v>378</v>
      </c>
      <c r="B190" s="7" t="s">
        <v>379</v>
      </c>
    </row>
    <row r="191" spans="1:2" x14ac:dyDescent="0.2">
      <c r="A191" s="8" t="s">
        <v>380</v>
      </c>
      <c r="B191" s="8" t="s">
        <v>381</v>
      </c>
    </row>
    <row r="192" spans="1:2" x14ac:dyDescent="0.2">
      <c r="A192" s="7" t="s">
        <v>382</v>
      </c>
      <c r="B192" s="7" t="s">
        <v>383</v>
      </c>
    </row>
    <row r="193" spans="1:2" x14ac:dyDescent="0.2">
      <c r="A193" s="8" t="s">
        <v>384</v>
      </c>
      <c r="B193" s="8" t="s">
        <v>385</v>
      </c>
    </row>
    <row r="194" spans="1:2" x14ac:dyDescent="0.2">
      <c r="A194" s="7" t="s">
        <v>386</v>
      </c>
      <c r="B194" s="7" t="s">
        <v>387</v>
      </c>
    </row>
    <row r="195" spans="1:2" x14ac:dyDescent="0.2">
      <c r="A195" s="8" t="s">
        <v>388</v>
      </c>
      <c r="B195" s="8" t="s">
        <v>389</v>
      </c>
    </row>
    <row r="196" spans="1:2" x14ac:dyDescent="0.2">
      <c r="A196" s="7" t="s">
        <v>390</v>
      </c>
      <c r="B196" s="7" t="s">
        <v>391</v>
      </c>
    </row>
    <row r="197" spans="1:2" x14ac:dyDescent="0.2">
      <c r="A197" s="8" t="s">
        <v>392</v>
      </c>
      <c r="B197" s="8" t="s">
        <v>393</v>
      </c>
    </row>
    <row r="198" spans="1:2" x14ac:dyDescent="0.2">
      <c r="A198" s="7" t="s">
        <v>394</v>
      </c>
      <c r="B198" s="7" t="s">
        <v>395</v>
      </c>
    </row>
    <row r="199" spans="1:2" x14ac:dyDescent="0.2">
      <c r="A199" s="8" t="s">
        <v>396</v>
      </c>
      <c r="B199" s="8" t="s">
        <v>397</v>
      </c>
    </row>
    <row r="200" spans="1:2" x14ac:dyDescent="0.2">
      <c r="A200" s="7" t="s">
        <v>398</v>
      </c>
      <c r="B200" s="7" t="s">
        <v>399</v>
      </c>
    </row>
    <row r="201" spans="1:2" x14ac:dyDescent="0.2">
      <c r="A201" s="8" t="s">
        <v>400</v>
      </c>
      <c r="B201" s="8" t="s">
        <v>401</v>
      </c>
    </row>
    <row r="202" spans="1:2" x14ac:dyDescent="0.2">
      <c r="A202" s="7" t="s">
        <v>402</v>
      </c>
      <c r="B202" s="7" t="s">
        <v>403</v>
      </c>
    </row>
    <row r="203" spans="1:2" x14ac:dyDescent="0.2">
      <c r="A203" s="8" t="s">
        <v>404</v>
      </c>
      <c r="B203" s="8" t="s">
        <v>405</v>
      </c>
    </row>
    <row r="204" spans="1:2" x14ac:dyDescent="0.2">
      <c r="A204" s="7" t="s">
        <v>406</v>
      </c>
      <c r="B204" s="7" t="s">
        <v>407</v>
      </c>
    </row>
    <row r="205" spans="1:2" x14ac:dyDescent="0.2">
      <c r="A205" s="8" t="s">
        <v>408</v>
      </c>
      <c r="B205" s="8" t="s">
        <v>409</v>
      </c>
    </row>
    <row r="206" spans="1:2" x14ac:dyDescent="0.2">
      <c r="A206" s="7" t="s">
        <v>410</v>
      </c>
      <c r="B206" s="7" t="s">
        <v>411</v>
      </c>
    </row>
    <row r="207" spans="1:2" x14ac:dyDescent="0.2">
      <c r="A207" s="8" t="s">
        <v>412</v>
      </c>
      <c r="B207" s="8" t="s">
        <v>413</v>
      </c>
    </row>
    <row r="208" spans="1:2" x14ac:dyDescent="0.2">
      <c r="A208" s="7" t="s">
        <v>414</v>
      </c>
      <c r="B208" s="7" t="s">
        <v>415</v>
      </c>
    </row>
    <row r="209" spans="1:2" x14ac:dyDescent="0.2">
      <c r="A209" s="8" t="s">
        <v>416</v>
      </c>
      <c r="B209" s="8" t="s">
        <v>417</v>
      </c>
    </row>
    <row r="210" spans="1:2" x14ac:dyDescent="0.2">
      <c r="A210" s="7" t="s">
        <v>418</v>
      </c>
      <c r="B210" s="7" t="s">
        <v>419</v>
      </c>
    </row>
    <row r="211" spans="1:2" x14ac:dyDescent="0.2">
      <c r="A211" s="8" t="s">
        <v>420</v>
      </c>
      <c r="B211" s="8" t="s">
        <v>421</v>
      </c>
    </row>
    <row r="212" spans="1:2" x14ac:dyDescent="0.2">
      <c r="A212" s="7" t="s">
        <v>422</v>
      </c>
      <c r="B212" s="7" t="s">
        <v>423</v>
      </c>
    </row>
    <row r="213" spans="1:2" x14ac:dyDescent="0.2">
      <c r="A213" s="8" t="s">
        <v>424</v>
      </c>
      <c r="B213" s="8" t="s">
        <v>425</v>
      </c>
    </row>
    <row r="214" spans="1:2" x14ac:dyDescent="0.2">
      <c r="A214" s="7" t="s">
        <v>426</v>
      </c>
      <c r="B214" s="7" t="s">
        <v>427</v>
      </c>
    </row>
    <row r="215" spans="1:2" x14ac:dyDescent="0.2">
      <c r="A215" s="8" t="s">
        <v>428</v>
      </c>
      <c r="B215" s="8" t="s">
        <v>429</v>
      </c>
    </row>
    <row r="216" spans="1:2" x14ac:dyDescent="0.2">
      <c r="A216" s="7" t="s">
        <v>430</v>
      </c>
      <c r="B216" s="7" t="s">
        <v>431</v>
      </c>
    </row>
    <row r="217" spans="1:2" x14ac:dyDescent="0.2">
      <c r="A217" s="8" t="s">
        <v>432</v>
      </c>
      <c r="B217" s="8" t="s">
        <v>433</v>
      </c>
    </row>
    <row r="218" spans="1:2" x14ac:dyDescent="0.2">
      <c r="A218" s="7" t="s">
        <v>434</v>
      </c>
      <c r="B218" s="7" t="s">
        <v>435</v>
      </c>
    </row>
    <row r="219" spans="1:2" x14ac:dyDescent="0.2">
      <c r="A219" s="8" t="s">
        <v>436</v>
      </c>
      <c r="B219" s="8" t="s">
        <v>437</v>
      </c>
    </row>
    <row r="220" spans="1:2" x14ac:dyDescent="0.2">
      <c r="A220" s="7" t="s">
        <v>438</v>
      </c>
      <c r="B220" s="7" t="s">
        <v>439</v>
      </c>
    </row>
    <row r="221" spans="1:2" x14ac:dyDescent="0.2">
      <c r="A221" s="8" t="s">
        <v>440</v>
      </c>
      <c r="B221" s="8" t="s">
        <v>441</v>
      </c>
    </row>
    <row r="222" spans="1:2" x14ac:dyDescent="0.2">
      <c r="A222" s="7" t="s">
        <v>442</v>
      </c>
      <c r="B222" s="7" t="s">
        <v>443</v>
      </c>
    </row>
    <row r="223" spans="1:2" x14ac:dyDescent="0.2">
      <c r="A223" s="8" t="s">
        <v>444</v>
      </c>
      <c r="B223" s="8" t="s">
        <v>445</v>
      </c>
    </row>
    <row r="224" spans="1:2" x14ac:dyDescent="0.2">
      <c r="A224" s="7" t="s">
        <v>446</v>
      </c>
      <c r="B224" s="7" t="s">
        <v>447</v>
      </c>
    </row>
    <row r="225" spans="1:2" x14ac:dyDescent="0.2">
      <c r="A225" s="8" t="s">
        <v>448</v>
      </c>
      <c r="B225" s="8" t="s">
        <v>449</v>
      </c>
    </row>
    <row r="226" spans="1:2" x14ac:dyDescent="0.2">
      <c r="A226" s="7" t="s">
        <v>450</v>
      </c>
      <c r="B226" s="7" t="s">
        <v>451</v>
      </c>
    </row>
    <row r="227" spans="1:2" x14ac:dyDescent="0.2">
      <c r="A227" s="8" t="s">
        <v>452</v>
      </c>
      <c r="B227" s="8" t="s">
        <v>453</v>
      </c>
    </row>
    <row r="228" spans="1:2" x14ac:dyDescent="0.2">
      <c r="A228" s="7" t="s">
        <v>454</v>
      </c>
      <c r="B228" s="7" t="s">
        <v>455</v>
      </c>
    </row>
    <row r="229" spans="1:2" x14ac:dyDescent="0.2">
      <c r="A229" s="8" t="s">
        <v>456</v>
      </c>
      <c r="B229" s="8" t="s">
        <v>457</v>
      </c>
    </row>
    <row r="230" spans="1:2" x14ac:dyDescent="0.2">
      <c r="A230" s="7" t="s">
        <v>458</v>
      </c>
      <c r="B230" s="7" t="s">
        <v>459</v>
      </c>
    </row>
    <row r="231" spans="1:2" x14ac:dyDescent="0.2">
      <c r="A231" s="8" t="s">
        <v>460</v>
      </c>
      <c r="B231" s="8" t="s">
        <v>461</v>
      </c>
    </row>
    <row r="232" spans="1:2" x14ac:dyDescent="0.2">
      <c r="A232" s="7" t="s">
        <v>462</v>
      </c>
      <c r="B232" s="7" t="s">
        <v>463</v>
      </c>
    </row>
    <row r="233" spans="1:2" x14ac:dyDescent="0.2">
      <c r="A233" s="8" t="s">
        <v>464</v>
      </c>
      <c r="B233" s="8" t="s">
        <v>465</v>
      </c>
    </row>
    <row r="234" spans="1:2" x14ac:dyDescent="0.2">
      <c r="A234" s="7" t="s">
        <v>466</v>
      </c>
      <c r="B234" s="7" t="s">
        <v>467</v>
      </c>
    </row>
    <row r="235" spans="1:2" x14ac:dyDescent="0.2">
      <c r="A235" s="8" t="s">
        <v>468</v>
      </c>
      <c r="B235" s="8" t="s">
        <v>469</v>
      </c>
    </row>
    <row r="236" spans="1:2" x14ac:dyDescent="0.2">
      <c r="A236" s="7" t="s">
        <v>470</v>
      </c>
      <c r="B236" s="7" t="s">
        <v>471</v>
      </c>
    </row>
    <row r="237" spans="1:2" x14ac:dyDescent="0.2">
      <c r="A237" s="8" t="s">
        <v>472</v>
      </c>
      <c r="B237" s="8" t="s">
        <v>473</v>
      </c>
    </row>
    <row r="238" spans="1:2" x14ac:dyDescent="0.2">
      <c r="A238" s="7" t="s">
        <v>474</v>
      </c>
      <c r="B238" s="7" t="s">
        <v>475</v>
      </c>
    </row>
    <row r="239" spans="1:2" x14ac:dyDescent="0.2">
      <c r="A239" s="8" t="s">
        <v>476</v>
      </c>
      <c r="B239" s="8" t="s">
        <v>477</v>
      </c>
    </row>
    <row r="240" spans="1:2" x14ac:dyDescent="0.2">
      <c r="A240" s="7" t="s">
        <v>478</v>
      </c>
      <c r="B240" s="7" t="s">
        <v>479</v>
      </c>
    </row>
    <row r="241" spans="1:2" x14ac:dyDescent="0.2">
      <c r="A241" s="8" t="s">
        <v>480</v>
      </c>
      <c r="B241" s="8" t="s">
        <v>481</v>
      </c>
    </row>
    <row r="242" spans="1:2" x14ac:dyDescent="0.2">
      <c r="A242" s="7" t="s">
        <v>482</v>
      </c>
      <c r="B242" s="7" t="s">
        <v>483</v>
      </c>
    </row>
    <row r="243" spans="1:2" x14ac:dyDescent="0.2">
      <c r="A243" s="8" t="s">
        <v>484</v>
      </c>
      <c r="B243" s="8" t="s">
        <v>485</v>
      </c>
    </row>
    <row r="244" spans="1:2" x14ac:dyDescent="0.2">
      <c r="A244" s="7" t="s">
        <v>486</v>
      </c>
      <c r="B244" s="7" t="s">
        <v>487</v>
      </c>
    </row>
    <row r="245" spans="1:2" x14ac:dyDescent="0.2">
      <c r="A245" s="8" t="s">
        <v>488</v>
      </c>
      <c r="B245" s="8" t="s">
        <v>489</v>
      </c>
    </row>
    <row r="246" spans="1:2" x14ac:dyDescent="0.2">
      <c r="A246" s="7" t="s">
        <v>490</v>
      </c>
      <c r="B246" s="7" t="s">
        <v>491</v>
      </c>
    </row>
    <row r="247" spans="1:2" x14ac:dyDescent="0.2">
      <c r="A247" s="8" t="s">
        <v>492</v>
      </c>
      <c r="B247" s="8" t="s">
        <v>493</v>
      </c>
    </row>
    <row r="248" spans="1:2" x14ac:dyDescent="0.2">
      <c r="A248" s="7" t="s">
        <v>494</v>
      </c>
      <c r="B248" s="7" t="s">
        <v>495</v>
      </c>
    </row>
    <row r="249" spans="1:2" x14ac:dyDescent="0.2">
      <c r="A249" s="8" t="s">
        <v>496</v>
      </c>
      <c r="B249" s="8" t="s">
        <v>497</v>
      </c>
    </row>
    <row r="250" spans="1:2" x14ac:dyDescent="0.2">
      <c r="A250" s="7" t="s">
        <v>498</v>
      </c>
      <c r="B250" s="7" t="s">
        <v>499</v>
      </c>
    </row>
    <row r="251" spans="1:2" x14ac:dyDescent="0.2">
      <c r="A251" s="8" t="s">
        <v>500</v>
      </c>
      <c r="B251" s="8" t="s">
        <v>501</v>
      </c>
    </row>
    <row r="252" spans="1:2" x14ac:dyDescent="0.2">
      <c r="A252" s="7" t="s">
        <v>502</v>
      </c>
      <c r="B252" s="7" t="s">
        <v>503</v>
      </c>
    </row>
    <row r="253" spans="1:2" x14ac:dyDescent="0.2">
      <c r="A253" s="8" t="s">
        <v>504</v>
      </c>
      <c r="B253" s="8" t="s">
        <v>505</v>
      </c>
    </row>
    <row r="254" spans="1:2" x14ac:dyDescent="0.2">
      <c r="A254" s="7" t="s">
        <v>506</v>
      </c>
      <c r="B254" s="7" t="s">
        <v>507</v>
      </c>
    </row>
    <row r="255" spans="1:2" x14ac:dyDescent="0.2">
      <c r="A255" s="8" t="s">
        <v>508</v>
      </c>
      <c r="B255" s="8" t="s">
        <v>509</v>
      </c>
    </row>
    <row r="256" spans="1:2" x14ac:dyDescent="0.2">
      <c r="A256" s="7" t="s">
        <v>510</v>
      </c>
      <c r="B256" s="7" t="s">
        <v>511</v>
      </c>
    </row>
    <row r="257" spans="1:2" x14ac:dyDescent="0.2">
      <c r="A257" s="8" t="s">
        <v>512</v>
      </c>
      <c r="B257" s="8" t="s">
        <v>513</v>
      </c>
    </row>
    <row r="258" spans="1:2" x14ac:dyDescent="0.2">
      <c r="A258" s="7" t="s">
        <v>514</v>
      </c>
      <c r="B258" s="7" t="s">
        <v>515</v>
      </c>
    </row>
    <row r="259" spans="1:2" x14ac:dyDescent="0.2">
      <c r="A259" s="8" t="s">
        <v>516</v>
      </c>
      <c r="B259" s="8" t="s">
        <v>517</v>
      </c>
    </row>
    <row r="260" spans="1:2" x14ac:dyDescent="0.2">
      <c r="A260" s="7" t="s">
        <v>518</v>
      </c>
      <c r="B260" s="7" t="s">
        <v>519</v>
      </c>
    </row>
    <row r="261" spans="1:2" x14ac:dyDescent="0.2">
      <c r="A261" s="8" t="s">
        <v>520</v>
      </c>
      <c r="B261" s="8" t="s">
        <v>521</v>
      </c>
    </row>
    <row r="262" spans="1:2" x14ac:dyDescent="0.2">
      <c r="A262" s="7" t="s">
        <v>522</v>
      </c>
      <c r="B262" s="7" t="s">
        <v>523</v>
      </c>
    </row>
    <row r="263" spans="1:2" x14ac:dyDescent="0.2">
      <c r="A263" s="8" t="s">
        <v>524</v>
      </c>
      <c r="B263" s="8" t="s">
        <v>525</v>
      </c>
    </row>
    <row r="264" spans="1:2" x14ac:dyDescent="0.2">
      <c r="A264" s="7" t="s">
        <v>526</v>
      </c>
      <c r="B264" s="7" t="s">
        <v>527</v>
      </c>
    </row>
    <row r="265" spans="1:2" x14ac:dyDescent="0.2">
      <c r="A265" s="8" t="s">
        <v>528</v>
      </c>
      <c r="B265" s="8" t="s">
        <v>529</v>
      </c>
    </row>
    <row r="266" spans="1:2" x14ac:dyDescent="0.2">
      <c r="A266" s="7" t="s">
        <v>530</v>
      </c>
      <c r="B266" s="7" t="s">
        <v>531</v>
      </c>
    </row>
    <row r="267" spans="1:2" x14ac:dyDescent="0.2">
      <c r="A267" s="8" t="s">
        <v>532</v>
      </c>
      <c r="B267" s="8" t="s">
        <v>533</v>
      </c>
    </row>
    <row r="268" spans="1:2" x14ac:dyDescent="0.2">
      <c r="A268" s="7" t="s">
        <v>534</v>
      </c>
      <c r="B268" s="7" t="s">
        <v>535</v>
      </c>
    </row>
    <row r="269" spans="1:2" x14ac:dyDescent="0.2">
      <c r="A269" s="8" t="s">
        <v>536</v>
      </c>
      <c r="B269" s="8" t="s">
        <v>537</v>
      </c>
    </row>
    <row r="270" spans="1:2" x14ac:dyDescent="0.2">
      <c r="A270" s="7" t="s">
        <v>538</v>
      </c>
      <c r="B270" s="7" t="s">
        <v>539</v>
      </c>
    </row>
    <row r="271" spans="1:2" x14ac:dyDescent="0.2">
      <c r="A271" s="8" t="s">
        <v>540</v>
      </c>
      <c r="B271" s="8" t="s">
        <v>541</v>
      </c>
    </row>
    <row r="272" spans="1:2" x14ac:dyDescent="0.2">
      <c r="A272" s="7" t="s">
        <v>542</v>
      </c>
      <c r="B272" s="7" t="s">
        <v>543</v>
      </c>
    </row>
    <row r="273" spans="1:2" x14ac:dyDescent="0.2">
      <c r="A273" s="8" t="s">
        <v>544</v>
      </c>
      <c r="B273" s="8" t="s">
        <v>545</v>
      </c>
    </row>
    <row r="274" spans="1:2" x14ac:dyDescent="0.2">
      <c r="A274" s="7" t="s">
        <v>546</v>
      </c>
      <c r="B274" s="7" t="s">
        <v>547</v>
      </c>
    </row>
    <row r="275" spans="1:2" x14ac:dyDescent="0.2">
      <c r="A275" s="8" t="s">
        <v>548</v>
      </c>
      <c r="B275" s="8" t="s">
        <v>549</v>
      </c>
    </row>
    <row r="276" spans="1:2" x14ac:dyDescent="0.2">
      <c r="A276" s="7" t="s">
        <v>550</v>
      </c>
      <c r="B276" s="7" t="s">
        <v>551</v>
      </c>
    </row>
    <row r="277" spans="1:2" x14ac:dyDescent="0.2">
      <c r="A277" s="8" t="s">
        <v>552</v>
      </c>
      <c r="B277" s="8" t="s">
        <v>553</v>
      </c>
    </row>
    <row r="278" spans="1:2" x14ac:dyDescent="0.2">
      <c r="A278" s="7" t="s">
        <v>554</v>
      </c>
      <c r="B278" s="7" t="s">
        <v>555</v>
      </c>
    </row>
    <row r="279" spans="1:2" x14ac:dyDescent="0.2">
      <c r="A279" s="8" t="s">
        <v>556</v>
      </c>
      <c r="B279" s="8" t="s">
        <v>557</v>
      </c>
    </row>
    <row r="280" spans="1:2" x14ac:dyDescent="0.2">
      <c r="A280" s="7" t="s">
        <v>558</v>
      </c>
      <c r="B280" s="7" t="s">
        <v>559</v>
      </c>
    </row>
    <row r="281" spans="1:2" x14ac:dyDescent="0.2">
      <c r="A281" s="8" t="s">
        <v>560</v>
      </c>
      <c r="B281" s="8" t="s">
        <v>561</v>
      </c>
    </row>
    <row r="282" spans="1:2" x14ac:dyDescent="0.2">
      <c r="A282" s="7" t="s">
        <v>562</v>
      </c>
      <c r="B282" s="7" t="s">
        <v>563</v>
      </c>
    </row>
    <row r="283" spans="1:2" x14ac:dyDescent="0.2">
      <c r="A283" s="8" t="s">
        <v>564</v>
      </c>
      <c r="B283" s="8" t="s">
        <v>565</v>
      </c>
    </row>
    <row r="284" spans="1:2" x14ac:dyDescent="0.2">
      <c r="A284" s="7" t="s">
        <v>566</v>
      </c>
      <c r="B284" s="7" t="s">
        <v>567</v>
      </c>
    </row>
    <row r="285" spans="1:2" x14ac:dyDescent="0.2">
      <c r="A285" s="8" t="s">
        <v>568</v>
      </c>
      <c r="B285" s="8" t="s">
        <v>569</v>
      </c>
    </row>
    <row r="286" spans="1:2" x14ac:dyDescent="0.2">
      <c r="A286" s="7" t="s">
        <v>570</v>
      </c>
      <c r="B286" s="7" t="s">
        <v>571</v>
      </c>
    </row>
    <row r="287" spans="1:2" x14ac:dyDescent="0.2">
      <c r="A287" s="8" t="s">
        <v>572</v>
      </c>
      <c r="B287" s="8" t="s">
        <v>573</v>
      </c>
    </row>
    <row r="288" spans="1:2" x14ac:dyDescent="0.2">
      <c r="A288" s="7" t="s">
        <v>574</v>
      </c>
      <c r="B288" s="7" t="s">
        <v>575</v>
      </c>
    </row>
    <row r="289" spans="1:2" x14ac:dyDescent="0.2">
      <c r="A289" s="8" t="s">
        <v>576</v>
      </c>
      <c r="B289" s="8" t="s">
        <v>577</v>
      </c>
    </row>
    <row r="290" spans="1:2" x14ac:dyDescent="0.2">
      <c r="A290" s="7" t="s">
        <v>578</v>
      </c>
      <c r="B290" s="7" t="s">
        <v>579</v>
      </c>
    </row>
    <row r="291" spans="1:2" x14ac:dyDescent="0.2">
      <c r="A291" s="8" t="s">
        <v>580</v>
      </c>
      <c r="B291" s="8" t="s">
        <v>581</v>
      </c>
    </row>
    <row r="292" spans="1:2" x14ac:dyDescent="0.2">
      <c r="A292" s="7" t="s">
        <v>582</v>
      </c>
      <c r="B292" s="7" t="s">
        <v>583</v>
      </c>
    </row>
    <row r="293" spans="1:2" x14ac:dyDescent="0.2">
      <c r="A293" s="8" t="s">
        <v>584</v>
      </c>
      <c r="B293" s="8" t="s">
        <v>585</v>
      </c>
    </row>
    <row r="294" spans="1:2" x14ac:dyDescent="0.2">
      <c r="A294" s="7" t="s">
        <v>586</v>
      </c>
      <c r="B294" s="7" t="s">
        <v>587</v>
      </c>
    </row>
    <row r="295" spans="1:2" x14ac:dyDescent="0.2">
      <c r="A295" s="8" t="s">
        <v>588</v>
      </c>
      <c r="B295" s="8" t="s">
        <v>589</v>
      </c>
    </row>
    <row r="296" spans="1:2" x14ac:dyDescent="0.2">
      <c r="A296" s="7" t="s">
        <v>590</v>
      </c>
      <c r="B296" s="7" t="s">
        <v>591</v>
      </c>
    </row>
    <row r="297" spans="1:2" x14ac:dyDescent="0.2">
      <c r="A297" s="8" t="s">
        <v>592</v>
      </c>
      <c r="B297" s="8" t="s">
        <v>593</v>
      </c>
    </row>
    <row r="298" spans="1:2" x14ac:dyDescent="0.2">
      <c r="A298" s="7" t="s">
        <v>594</v>
      </c>
      <c r="B298" s="7" t="s">
        <v>595</v>
      </c>
    </row>
    <row r="299" spans="1:2" x14ac:dyDescent="0.2">
      <c r="A299" s="8" t="s">
        <v>596</v>
      </c>
      <c r="B299" s="8" t="s">
        <v>597</v>
      </c>
    </row>
    <row r="300" spans="1:2" x14ac:dyDescent="0.2">
      <c r="A300" s="7" t="s">
        <v>598</v>
      </c>
      <c r="B300" s="7" t="s">
        <v>599</v>
      </c>
    </row>
    <row r="301" spans="1:2" x14ac:dyDescent="0.2">
      <c r="A301" s="8" t="s">
        <v>600</v>
      </c>
      <c r="B301" s="8" t="s">
        <v>601</v>
      </c>
    </row>
    <row r="302" spans="1:2" x14ac:dyDescent="0.2">
      <c r="A302" s="7" t="s">
        <v>602</v>
      </c>
      <c r="B302" s="7" t="s">
        <v>603</v>
      </c>
    </row>
    <row r="303" spans="1:2" x14ac:dyDescent="0.2">
      <c r="A303" s="8" t="s">
        <v>604</v>
      </c>
      <c r="B303" s="8" t="s">
        <v>605</v>
      </c>
    </row>
    <row r="304" spans="1:2" x14ac:dyDescent="0.2">
      <c r="A304" s="7" t="s">
        <v>606</v>
      </c>
      <c r="B304" s="7" t="s">
        <v>607</v>
      </c>
    </row>
    <row r="305" spans="1:2" x14ac:dyDescent="0.2">
      <c r="A305" s="8" t="s">
        <v>608</v>
      </c>
      <c r="B305" s="8" t="s">
        <v>609</v>
      </c>
    </row>
    <row r="306" spans="1:2" x14ac:dyDescent="0.2">
      <c r="A306" s="7" t="s">
        <v>610</v>
      </c>
      <c r="B306" s="7" t="s">
        <v>611</v>
      </c>
    </row>
    <row r="307" spans="1:2" x14ac:dyDescent="0.2">
      <c r="A307" s="8" t="s">
        <v>612</v>
      </c>
      <c r="B307" s="8" t="s">
        <v>613</v>
      </c>
    </row>
    <row r="308" spans="1:2" x14ac:dyDescent="0.2">
      <c r="A308" s="7" t="s">
        <v>614</v>
      </c>
      <c r="B308" s="7" t="s">
        <v>615</v>
      </c>
    </row>
    <row r="309" spans="1:2" x14ac:dyDescent="0.2">
      <c r="A309" s="8" t="s">
        <v>616</v>
      </c>
      <c r="B309" s="8" t="s">
        <v>617</v>
      </c>
    </row>
    <row r="310" spans="1:2" x14ac:dyDescent="0.2">
      <c r="A310" s="7" t="s">
        <v>618</v>
      </c>
      <c r="B310" s="7" t="s">
        <v>619</v>
      </c>
    </row>
    <row r="311" spans="1:2" x14ac:dyDescent="0.2">
      <c r="A311" s="8" t="s">
        <v>620</v>
      </c>
      <c r="B311" s="8" t="s">
        <v>621</v>
      </c>
    </row>
    <row r="312" spans="1:2" x14ac:dyDescent="0.2">
      <c r="A312" s="7" t="s">
        <v>622</v>
      </c>
      <c r="B312" s="7" t="s">
        <v>623</v>
      </c>
    </row>
    <row r="313" spans="1:2" x14ac:dyDescent="0.2">
      <c r="A313" s="8" t="s">
        <v>624</v>
      </c>
      <c r="B313" s="8" t="s">
        <v>625</v>
      </c>
    </row>
    <row r="314" spans="1:2" x14ac:dyDescent="0.2">
      <c r="A314" s="7" t="s">
        <v>626</v>
      </c>
      <c r="B314" s="7" t="s">
        <v>627</v>
      </c>
    </row>
    <row r="315" spans="1:2" x14ac:dyDescent="0.2">
      <c r="A315" s="8" t="s">
        <v>628</v>
      </c>
      <c r="B315" s="8" t="s">
        <v>629</v>
      </c>
    </row>
    <row r="316" spans="1:2" x14ac:dyDescent="0.2">
      <c r="A316" s="7" t="s">
        <v>630</v>
      </c>
      <c r="B316" s="7" t="s">
        <v>631</v>
      </c>
    </row>
    <row r="317" spans="1:2" x14ac:dyDescent="0.2">
      <c r="A317" s="8" t="s">
        <v>632</v>
      </c>
      <c r="B317" s="8" t="s">
        <v>633</v>
      </c>
    </row>
    <row r="318" spans="1:2" x14ac:dyDescent="0.2">
      <c r="A318" s="7" t="s">
        <v>634</v>
      </c>
      <c r="B318" s="7" t="s">
        <v>635</v>
      </c>
    </row>
    <row r="319" spans="1:2" x14ac:dyDescent="0.2">
      <c r="A319" s="8" t="s">
        <v>636</v>
      </c>
      <c r="B319" s="8" t="s">
        <v>123</v>
      </c>
    </row>
    <row r="320" spans="1:2" x14ac:dyDescent="0.2">
      <c r="A320" s="7" t="s">
        <v>637</v>
      </c>
      <c r="B320" s="7" t="s">
        <v>247</v>
      </c>
    </row>
    <row r="321" spans="1:2" x14ac:dyDescent="0.2">
      <c r="A321" s="8" t="s">
        <v>638</v>
      </c>
      <c r="B321" s="8" t="s">
        <v>639</v>
      </c>
    </row>
    <row r="322" spans="1:2" x14ac:dyDescent="0.2">
      <c r="A322" s="7" t="s">
        <v>640</v>
      </c>
      <c r="B322" s="7" t="s">
        <v>641</v>
      </c>
    </row>
    <row r="323" spans="1:2" x14ac:dyDescent="0.2">
      <c r="A323" s="8" t="s">
        <v>642</v>
      </c>
      <c r="B323" s="8" t="s">
        <v>643</v>
      </c>
    </row>
    <row r="324" spans="1:2" x14ac:dyDescent="0.2">
      <c r="A324" s="7" t="s">
        <v>644</v>
      </c>
      <c r="B324" s="7" t="s">
        <v>645</v>
      </c>
    </row>
    <row r="325" spans="1:2" x14ac:dyDescent="0.2">
      <c r="A325" s="8" t="s">
        <v>646</v>
      </c>
      <c r="B325" s="8" t="s">
        <v>647</v>
      </c>
    </row>
    <row r="326" spans="1:2" x14ac:dyDescent="0.2">
      <c r="A326" s="7" t="s">
        <v>648</v>
      </c>
      <c r="B326" s="7" t="s">
        <v>649</v>
      </c>
    </row>
    <row r="327" spans="1:2" x14ac:dyDescent="0.2">
      <c r="A327" s="8" t="s">
        <v>650</v>
      </c>
      <c r="B327" s="8" t="s">
        <v>651</v>
      </c>
    </row>
    <row r="328" spans="1:2" x14ac:dyDescent="0.2">
      <c r="A328" s="7" t="s">
        <v>652</v>
      </c>
      <c r="B328" s="7" t="s">
        <v>653</v>
      </c>
    </row>
    <row r="329" spans="1:2" x14ac:dyDescent="0.2">
      <c r="A329" s="8" t="s">
        <v>654</v>
      </c>
      <c r="B329" s="8" t="s">
        <v>655</v>
      </c>
    </row>
    <row r="330" spans="1:2" x14ac:dyDescent="0.2">
      <c r="A330" s="7" t="s">
        <v>656</v>
      </c>
      <c r="B330" s="7" t="s">
        <v>657</v>
      </c>
    </row>
    <row r="331" spans="1:2" x14ac:dyDescent="0.2">
      <c r="A331" s="8" t="s">
        <v>658</v>
      </c>
      <c r="B331" s="8" t="s">
        <v>659</v>
      </c>
    </row>
    <row r="332" spans="1:2" x14ac:dyDescent="0.2">
      <c r="A332" s="7" t="s">
        <v>660</v>
      </c>
      <c r="B332" s="7" t="s">
        <v>661</v>
      </c>
    </row>
    <row r="333" spans="1:2" x14ac:dyDescent="0.2">
      <c r="A333" s="8" t="s">
        <v>662</v>
      </c>
      <c r="B333" s="8" t="s">
        <v>663</v>
      </c>
    </row>
    <row r="334" spans="1:2" x14ac:dyDescent="0.2">
      <c r="A334" s="7" t="s">
        <v>664</v>
      </c>
      <c r="B334" s="7" t="s">
        <v>665</v>
      </c>
    </row>
    <row r="335" spans="1:2" x14ac:dyDescent="0.2">
      <c r="A335" s="8" t="s">
        <v>666</v>
      </c>
      <c r="B335" s="8" t="s">
        <v>667</v>
      </c>
    </row>
    <row r="336" spans="1:2" x14ac:dyDescent="0.2">
      <c r="A336" s="7" t="s">
        <v>668</v>
      </c>
      <c r="B336" s="7" t="s">
        <v>669</v>
      </c>
    </row>
    <row r="337" spans="1:2" x14ac:dyDescent="0.2">
      <c r="A337" s="8" t="s">
        <v>670</v>
      </c>
      <c r="B337" s="8" t="s">
        <v>671</v>
      </c>
    </row>
    <row r="338" spans="1:2" x14ac:dyDescent="0.2">
      <c r="A338" s="7" t="s">
        <v>672</v>
      </c>
      <c r="B338" s="7" t="s">
        <v>673</v>
      </c>
    </row>
    <row r="339" spans="1:2" x14ac:dyDescent="0.2">
      <c r="A339" s="8" t="s">
        <v>674</v>
      </c>
      <c r="B339" s="8" t="s">
        <v>675</v>
      </c>
    </row>
    <row r="340" spans="1:2" x14ac:dyDescent="0.2">
      <c r="A340" s="7" t="s">
        <v>676</v>
      </c>
      <c r="B340" s="7" t="s">
        <v>677</v>
      </c>
    </row>
    <row r="341" spans="1:2" x14ac:dyDescent="0.2">
      <c r="A341" s="8" t="s">
        <v>678</v>
      </c>
      <c r="B341" s="8" t="s">
        <v>679</v>
      </c>
    </row>
    <row r="342" spans="1:2" x14ac:dyDescent="0.2">
      <c r="A342" s="7" t="s">
        <v>680</v>
      </c>
      <c r="B342" s="7" t="s">
        <v>681</v>
      </c>
    </row>
    <row r="343" spans="1:2" x14ac:dyDescent="0.2">
      <c r="A343" s="8" t="s">
        <v>682</v>
      </c>
      <c r="B343" s="8" t="s">
        <v>683</v>
      </c>
    </row>
    <row r="344" spans="1:2" x14ac:dyDescent="0.2">
      <c r="A344" s="7" t="s">
        <v>684</v>
      </c>
      <c r="B344" s="7" t="s">
        <v>685</v>
      </c>
    </row>
    <row r="345" spans="1:2" x14ac:dyDescent="0.2">
      <c r="A345" s="8" t="s">
        <v>686</v>
      </c>
      <c r="B345" s="8" t="s">
        <v>687</v>
      </c>
    </row>
    <row r="346" spans="1:2" x14ac:dyDescent="0.2">
      <c r="A346" s="7" t="s">
        <v>688</v>
      </c>
      <c r="B346" s="7" t="s">
        <v>689</v>
      </c>
    </row>
    <row r="347" spans="1:2" x14ac:dyDescent="0.2">
      <c r="A347" s="8" t="s">
        <v>690</v>
      </c>
      <c r="B347" s="8" t="s">
        <v>691</v>
      </c>
    </row>
    <row r="348" spans="1:2" x14ac:dyDescent="0.2">
      <c r="A348" s="7" t="s">
        <v>692</v>
      </c>
      <c r="B348" s="7" t="s">
        <v>693</v>
      </c>
    </row>
    <row r="349" spans="1:2" x14ac:dyDescent="0.2">
      <c r="A349" s="8" t="s">
        <v>694</v>
      </c>
      <c r="B349" s="8" t="s">
        <v>695</v>
      </c>
    </row>
    <row r="350" spans="1:2" x14ac:dyDescent="0.2">
      <c r="A350" s="7" t="s">
        <v>696</v>
      </c>
      <c r="B350" s="7" t="s">
        <v>697</v>
      </c>
    </row>
    <row r="351" spans="1:2" x14ac:dyDescent="0.2">
      <c r="A351" s="8" t="s">
        <v>698</v>
      </c>
      <c r="B351" s="8" t="s">
        <v>699</v>
      </c>
    </row>
    <row r="352" spans="1:2" x14ac:dyDescent="0.2">
      <c r="A352" s="7" t="s">
        <v>700</v>
      </c>
      <c r="B352" s="7" t="s">
        <v>701</v>
      </c>
    </row>
    <row r="353" spans="1:2" x14ac:dyDescent="0.2">
      <c r="A353" s="8" t="s">
        <v>702</v>
      </c>
      <c r="B353" s="8" t="s">
        <v>703</v>
      </c>
    </row>
    <row r="354" spans="1:2" x14ac:dyDescent="0.2">
      <c r="A354" s="7" t="s">
        <v>704</v>
      </c>
      <c r="B354" s="7" t="s">
        <v>705</v>
      </c>
    </row>
    <row r="355" spans="1:2" x14ac:dyDescent="0.2">
      <c r="A355" s="8" t="s">
        <v>706</v>
      </c>
      <c r="B355" s="8" t="s">
        <v>707</v>
      </c>
    </row>
    <row r="356" spans="1:2" x14ac:dyDescent="0.2">
      <c r="A356" s="7" t="s">
        <v>708</v>
      </c>
      <c r="B356" s="7" t="s">
        <v>709</v>
      </c>
    </row>
    <row r="357" spans="1:2" x14ac:dyDescent="0.2">
      <c r="A357" s="8" t="s">
        <v>710</v>
      </c>
      <c r="B357" s="8" t="s">
        <v>711</v>
      </c>
    </row>
    <row r="358" spans="1:2" x14ac:dyDescent="0.2">
      <c r="A358" s="7" t="s">
        <v>712</v>
      </c>
      <c r="B358" s="7" t="s">
        <v>713</v>
      </c>
    </row>
    <row r="359" spans="1:2" x14ac:dyDescent="0.2">
      <c r="A359" s="8" t="s">
        <v>714</v>
      </c>
      <c r="B359" s="8" t="s">
        <v>715</v>
      </c>
    </row>
    <row r="360" spans="1:2" x14ac:dyDescent="0.2">
      <c r="A360" s="7" t="s">
        <v>716</v>
      </c>
      <c r="B360" s="7" t="s">
        <v>717</v>
      </c>
    </row>
    <row r="361" spans="1:2" x14ac:dyDescent="0.2">
      <c r="A361" s="8" t="s">
        <v>718</v>
      </c>
      <c r="B361" s="8" t="s">
        <v>719</v>
      </c>
    </row>
    <row r="362" spans="1:2" x14ac:dyDescent="0.2">
      <c r="A362" s="7" t="s">
        <v>720</v>
      </c>
      <c r="B362" s="7" t="s">
        <v>721</v>
      </c>
    </row>
    <row r="363" spans="1:2" x14ac:dyDescent="0.2">
      <c r="A363" s="8" t="s">
        <v>722</v>
      </c>
      <c r="B363" s="8" t="s">
        <v>723</v>
      </c>
    </row>
    <row r="364" spans="1:2" x14ac:dyDescent="0.2">
      <c r="A364" s="7" t="s">
        <v>724</v>
      </c>
      <c r="B364" s="7" t="s">
        <v>725</v>
      </c>
    </row>
    <row r="365" spans="1:2" x14ac:dyDescent="0.2">
      <c r="A365" s="8" t="s">
        <v>726</v>
      </c>
      <c r="B365" s="8" t="s">
        <v>727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B363"/>
  <sheetViews>
    <sheetView workbookViewId="0">
      <pane ySplit="1" topLeftCell="A2" activePane="bottomLeft" state="frozen"/>
      <selection pane="bottomLeft" activeCell="O39" sqref="O39"/>
    </sheetView>
  </sheetViews>
  <sheetFormatPr baseColWidth="10" defaultColWidth="8.83203125" defaultRowHeight="15" x14ac:dyDescent="0.2"/>
  <cols>
    <col min="1" max="1" width="32" customWidth="1"/>
    <col min="2" max="2" width="44" customWidth="1"/>
  </cols>
  <sheetData>
    <row r="1" spans="1:2" x14ac:dyDescent="0.2">
      <c r="A1" s="6" t="s">
        <v>1</v>
      </c>
      <c r="B1" s="6" t="s">
        <v>0</v>
      </c>
    </row>
    <row r="2" spans="1:2" x14ac:dyDescent="0.2">
      <c r="A2" s="7" t="s">
        <v>3</v>
      </c>
      <c r="B2" s="7" t="s">
        <v>2</v>
      </c>
    </row>
    <row r="3" spans="1:2" x14ac:dyDescent="0.2">
      <c r="A3" s="8" t="s">
        <v>5</v>
      </c>
      <c r="B3" s="8" t="s">
        <v>4</v>
      </c>
    </row>
    <row r="4" spans="1:2" x14ac:dyDescent="0.2">
      <c r="A4" s="7" t="s">
        <v>7</v>
      </c>
      <c r="B4" s="7" t="s">
        <v>6</v>
      </c>
    </row>
    <row r="5" spans="1:2" x14ac:dyDescent="0.2">
      <c r="A5" s="8" t="s">
        <v>11</v>
      </c>
      <c r="B5" s="8" t="s">
        <v>10</v>
      </c>
    </row>
    <row r="6" spans="1:2" x14ac:dyDescent="0.2">
      <c r="A6" s="7" t="s">
        <v>9</v>
      </c>
      <c r="B6" s="7" t="s">
        <v>8</v>
      </c>
    </row>
    <row r="7" spans="1:2" x14ac:dyDescent="0.2">
      <c r="A7" s="8" t="s">
        <v>13</v>
      </c>
      <c r="B7" s="8" t="s">
        <v>12</v>
      </c>
    </row>
    <row r="8" spans="1:2" x14ac:dyDescent="0.2">
      <c r="A8" s="7" t="s">
        <v>15</v>
      </c>
      <c r="B8" s="7" t="s">
        <v>14</v>
      </c>
    </row>
    <row r="9" spans="1:2" x14ac:dyDescent="0.2">
      <c r="A9" s="8" t="s">
        <v>17</v>
      </c>
      <c r="B9" s="8" t="s">
        <v>16</v>
      </c>
    </row>
    <row r="10" spans="1:2" x14ac:dyDescent="0.2">
      <c r="A10" s="7" t="s">
        <v>19</v>
      </c>
      <c r="B10" s="7" t="s">
        <v>18</v>
      </c>
    </row>
    <row r="11" spans="1:2" x14ac:dyDescent="0.2">
      <c r="A11" s="8" t="s">
        <v>21</v>
      </c>
      <c r="B11" s="8" t="s">
        <v>20</v>
      </c>
    </row>
    <row r="12" spans="1:2" x14ac:dyDescent="0.2">
      <c r="A12" s="7" t="s">
        <v>25</v>
      </c>
      <c r="B12" s="7" t="s">
        <v>24</v>
      </c>
    </row>
    <row r="13" spans="1:2" x14ac:dyDescent="0.2">
      <c r="A13" s="8" t="s">
        <v>23</v>
      </c>
      <c r="B13" s="8" t="s">
        <v>22</v>
      </c>
    </row>
    <row r="14" spans="1:2" x14ac:dyDescent="0.2">
      <c r="A14" s="7" t="s">
        <v>27</v>
      </c>
      <c r="B14" s="7" t="s">
        <v>26</v>
      </c>
    </row>
    <row r="15" spans="1:2" x14ac:dyDescent="0.2">
      <c r="A15" s="8" t="s">
        <v>33</v>
      </c>
      <c r="B15" s="8" t="s">
        <v>32</v>
      </c>
    </row>
    <row r="16" spans="1:2" x14ac:dyDescent="0.2">
      <c r="A16" s="7" t="s">
        <v>29</v>
      </c>
      <c r="B16" s="7" t="s">
        <v>28</v>
      </c>
    </row>
    <row r="17" spans="1:2" x14ac:dyDescent="0.2">
      <c r="A17" s="8" t="s">
        <v>35</v>
      </c>
      <c r="B17" s="8" t="s">
        <v>34</v>
      </c>
    </row>
    <row r="18" spans="1:2" x14ac:dyDescent="0.2">
      <c r="A18" s="7" t="s">
        <v>37</v>
      </c>
      <c r="B18" s="7" t="s">
        <v>36</v>
      </c>
    </row>
    <row r="19" spans="1:2" x14ac:dyDescent="0.2">
      <c r="A19" s="8" t="s">
        <v>39</v>
      </c>
      <c r="B19" s="8" t="s">
        <v>38</v>
      </c>
    </row>
    <row r="20" spans="1:2" x14ac:dyDescent="0.2">
      <c r="A20" s="7" t="s">
        <v>41</v>
      </c>
      <c r="B20" s="7" t="s">
        <v>40</v>
      </c>
    </row>
    <row r="21" spans="1:2" x14ac:dyDescent="0.2">
      <c r="A21" s="8" t="s">
        <v>43</v>
      </c>
      <c r="B21" s="8" t="s">
        <v>42</v>
      </c>
    </row>
    <row r="22" spans="1:2" x14ac:dyDescent="0.2">
      <c r="A22" s="7" t="s">
        <v>45</v>
      </c>
      <c r="B22" s="7" t="s">
        <v>44</v>
      </c>
    </row>
    <row r="23" spans="1:2" x14ac:dyDescent="0.2">
      <c r="A23" s="8" t="s">
        <v>47</v>
      </c>
      <c r="B23" s="8" t="s">
        <v>46</v>
      </c>
    </row>
    <row r="24" spans="1:2" x14ac:dyDescent="0.2">
      <c r="A24" s="7" t="s">
        <v>49</v>
      </c>
      <c r="B24" s="7" t="s">
        <v>48</v>
      </c>
    </row>
    <row r="25" spans="1:2" x14ac:dyDescent="0.2">
      <c r="A25" s="8" t="s">
        <v>51</v>
      </c>
      <c r="B25" s="8" t="s">
        <v>50</v>
      </c>
    </row>
    <row r="26" spans="1:2" x14ac:dyDescent="0.2">
      <c r="A26" s="7" t="s">
        <v>53</v>
      </c>
      <c r="B26" s="7" t="s">
        <v>52</v>
      </c>
    </row>
    <row r="27" spans="1:2" x14ac:dyDescent="0.2">
      <c r="A27" s="8" t="s">
        <v>55</v>
      </c>
      <c r="B27" s="8" t="s">
        <v>54</v>
      </c>
    </row>
    <row r="28" spans="1:2" x14ac:dyDescent="0.2">
      <c r="A28" s="7" t="s">
        <v>57</v>
      </c>
      <c r="B28" s="7" t="s">
        <v>56</v>
      </c>
    </row>
    <row r="29" spans="1:2" x14ac:dyDescent="0.2">
      <c r="A29" s="8" t="s">
        <v>59</v>
      </c>
      <c r="B29" s="8" t="s">
        <v>58</v>
      </c>
    </row>
    <row r="30" spans="1:2" x14ac:dyDescent="0.2">
      <c r="A30" s="7" t="s">
        <v>61</v>
      </c>
      <c r="B30" s="7" t="s">
        <v>60</v>
      </c>
    </row>
    <row r="31" spans="1:2" x14ac:dyDescent="0.2">
      <c r="A31" s="8" t="s">
        <v>63</v>
      </c>
      <c r="B31" s="8" t="s">
        <v>62</v>
      </c>
    </row>
    <row r="32" spans="1:2" x14ac:dyDescent="0.2">
      <c r="A32" s="7" t="s">
        <v>65</v>
      </c>
      <c r="B32" s="7" t="s">
        <v>64</v>
      </c>
    </row>
    <row r="33" spans="1:2" x14ac:dyDescent="0.2">
      <c r="A33" s="8" t="s">
        <v>67</v>
      </c>
      <c r="B33" s="8" t="s">
        <v>66</v>
      </c>
    </row>
    <row r="34" spans="1:2" x14ac:dyDescent="0.2">
      <c r="A34" s="7" t="s">
        <v>69</v>
      </c>
      <c r="B34" s="7" t="s">
        <v>68</v>
      </c>
    </row>
    <row r="35" spans="1:2" x14ac:dyDescent="0.2">
      <c r="A35" s="8" t="s">
        <v>71</v>
      </c>
      <c r="B35" s="8" t="s">
        <v>70</v>
      </c>
    </row>
    <row r="36" spans="1:2" x14ac:dyDescent="0.2">
      <c r="A36" s="7" t="s">
        <v>73</v>
      </c>
      <c r="B36" s="7" t="s">
        <v>72</v>
      </c>
    </row>
    <row r="37" spans="1:2" x14ac:dyDescent="0.2">
      <c r="A37" s="8" t="s">
        <v>83</v>
      </c>
      <c r="B37" s="8" t="s">
        <v>82</v>
      </c>
    </row>
    <row r="38" spans="1:2" x14ac:dyDescent="0.2">
      <c r="A38" s="7" t="s">
        <v>75</v>
      </c>
      <c r="B38" s="7" t="s">
        <v>74</v>
      </c>
    </row>
    <row r="39" spans="1:2" x14ac:dyDescent="0.2">
      <c r="A39" s="8" t="s">
        <v>77</v>
      </c>
      <c r="B39" s="8" t="s">
        <v>76</v>
      </c>
    </row>
    <row r="40" spans="1:2" x14ac:dyDescent="0.2">
      <c r="A40" s="7" t="s">
        <v>79</v>
      </c>
      <c r="B40" s="7" t="s">
        <v>78</v>
      </c>
    </row>
    <row r="41" spans="1:2" x14ac:dyDescent="0.2">
      <c r="A41" s="8" t="s">
        <v>81</v>
      </c>
      <c r="B41" s="8" t="s">
        <v>80</v>
      </c>
    </row>
    <row r="42" spans="1:2" x14ac:dyDescent="0.2">
      <c r="A42" s="7" t="s">
        <v>85</v>
      </c>
      <c r="B42" s="7" t="s">
        <v>84</v>
      </c>
    </row>
    <row r="43" spans="1:2" x14ac:dyDescent="0.2">
      <c r="A43" s="8" t="s">
        <v>87</v>
      </c>
      <c r="B43" s="8" t="s">
        <v>86</v>
      </c>
    </row>
    <row r="44" spans="1:2" x14ac:dyDescent="0.2">
      <c r="A44" s="7" t="s">
        <v>89</v>
      </c>
      <c r="B44" s="7" t="s">
        <v>88</v>
      </c>
    </row>
    <row r="45" spans="1:2" x14ac:dyDescent="0.2">
      <c r="A45" s="8" t="s">
        <v>91</v>
      </c>
      <c r="B45" s="8" t="s">
        <v>90</v>
      </c>
    </row>
    <row r="46" spans="1:2" x14ac:dyDescent="0.2">
      <c r="A46" s="7" t="s">
        <v>93</v>
      </c>
      <c r="B46" s="7" t="s">
        <v>92</v>
      </c>
    </row>
    <row r="47" spans="1:2" x14ac:dyDescent="0.2">
      <c r="A47" s="8" t="s">
        <v>95</v>
      </c>
      <c r="B47" s="8" t="s">
        <v>94</v>
      </c>
    </row>
    <row r="48" spans="1:2" x14ac:dyDescent="0.2">
      <c r="A48" s="7" t="s">
        <v>97</v>
      </c>
      <c r="B48" s="7" t="s">
        <v>96</v>
      </c>
    </row>
    <row r="49" spans="1:2" x14ac:dyDescent="0.2">
      <c r="A49" s="8" t="s">
        <v>99</v>
      </c>
      <c r="B49" s="8" t="s">
        <v>98</v>
      </c>
    </row>
    <row r="50" spans="1:2" x14ac:dyDescent="0.2">
      <c r="A50" s="7" t="s">
        <v>101</v>
      </c>
      <c r="B50" s="7" t="s">
        <v>100</v>
      </c>
    </row>
    <row r="51" spans="1:2" x14ac:dyDescent="0.2">
      <c r="A51" s="8" t="s">
        <v>103</v>
      </c>
      <c r="B51" s="8" t="s">
        <v>102</v>
      </c>
    </row>
    <row r="52" spans="1:2" x14ac:dyDescent="0.2">
      <c r="A52" s="7" t="s">
        <v>105</v>
      </c>
      <c r="B52" s="7" t="s">
        <v>104</v>
      </c>
    </row>
    <row r="53" spans="1:2" x14ac:dyDescent="0.2">
      <c r="A53" s="8" t="s">
        <v>107</v>
      </c>
      <c r="B53" s="8" t="s">
        <v>106</v>
      </c>
    </row>
    <row r="54" spans="1:2" x14ac:dyDescent="0.2">
      <c r="A54" s="7" t="s">
        <v>109</v>
      </c>
      <c r="B54" s="7" t="s">
        <v>108</v>
      </c>
    </row>
    <row r="55" spans="1:2" x14ac:dyDescent="0.2">
      <c r="A55" s="8" t="s">
        <v>111</v>
      </c>
      <c r="B55" s="8" t="s">
        <v>110</v>
      </c>
    </row>
    <row r="56" spans="1:2" x14ac:dyDescent="0.2">
      <c r="A56" s="7" t="s">
        <v>113</v>
      </c>
      <c r="B56" s="7" t="s">
        <v>112</v>
      </c>
    </row>
    <row r="57" spans="1:2" x14ac:dyDescent="0.2">
      <c r="A57" s="8" t="s">
        <v>115</v>
      </c>
      <c r="B57" s="8" t="s">
        <v>114</v>
      </c>
    </row>
    <row r="58" spans="1:2" x14ac:dyDescent="0.2">
      <c r="A58" s="7" t="s">
        <v>117</v>
      </c>
      <c r="B58" s="7" t="s">
        <v>116</v>
      </c>
    </row>
    <row r="59" spans="1:2" x14ac:dyDescent="0.2">
      <c r="A59" s="8" t="s">
        <v>119</v>
      </c>
      <c r="B59" s="8" t="s">
        <v>118</v>
      </c>
    </row>
    <row r="60" spans="1:2" x14ac:dyDescent="0.2">
      <c r="A60" s="7" t="s">
        <v>121</v>
      </c>
      <c r="B60" s="7" t="s">
        <v>120</v>
      </c>
    </row>
    <row r="61" spans="1:2" x14ac:dyDescent="0.2">
      <c r="A61" s="8" t="s">
        <v>123</v>
      </c>
      <c r="B61" s="8" t="s">
        <v>636</v>
      </c>
    </row>
    <row r="62" spans="1:2" x14ac:dyDescent="0.2">
      <c r="A62" s="7" t="s">
        <v>125</v>
      </c>
      <c r="B62" s="7" t="s">
        <v>124</v>
      </c>
    </row>
    <row r="63" spans="1:2" x14ac:dyDescent="0.2">
      <c r="A63" s="8" t="s">
        <v>127</v>
      </c>
      <c r="B63" s="8" t="s">
        <v>126</v>
      </c>
    </row>
    <row r="64" spans="1:2" x14ac:dyDescent="0.2">
      <c r="A64" s="7" t="s">
        <v>129</v>
      </c>
      <c r="B64" s="7" t="s">
        <v>128</v>
      </c>
    </row>
    <row r="65" spans="1:2" x14ac:dyDescent="0.2">
      <c r="A65" s="8" t="s">
        <v>131</v>
      </c>
      <c r="B65" s="8" t="s">
        <v>130</v>
      </c>
    </row>
    <row r="66" spans="1:2" x14ac:dyDescent="0.2">
      <c r="A66" s="7" t="s">
        <v>133</v>
      </c>
      <c r="B66" s="7" t="s">
        <v>132</v>
      </c>
    </row>
    <row r="67" spans="1:2" x14ac:dyDescent="0.2">
      <c r="A67" s="8" t="s">
        <v>135</v>
      </c>
      <c r="B67" s="8" t="s">
        <v>134</v>
      </c>
    </row>
    <row r="68" spans="1:2" x14ac:dyDescent="0.2">
      <c r="A68" s="7" t="s">
        <v>137</v>
      </c>
      <c r="B68" s="7" t="s">
        <v>136</v>
      </c>
    </row>
    <row r="69" spans="1:2" x14ac:dyDescent="0.2">
      <c r="A69" s="8" t="s">
        <v>139</v>
      </c>
      <c r="B69" s="8" t="s">
        <v>138</v>
      </c>
    </row>
    <row r="70" spans="1:2" x14ac:dyDescent="0.2">
      <c r="A70" s="7" t="s">
        <v>141</v>
      </c>
      <c r="B70" s="7" t="s">
        <v>140</v>
      </c>
    </row>
    <row r="71" spans="1:2" x14ac:dyDescent="0.2">
      <c r="A71" s="8" t="s">
        <v>143</v>
      </c>
      <c r="B71" s="8" t="s">
        <v>142</v>
      </c>
    </row>
    <row r="72" spans="1:2" x14ac:dyDescent="0.2">
      <c r="A72" s="7" t="s">
        <v>145</v>
      </c>
      <c r="B72" s="7" t="s">
        <v>144</v>
      </c>
    </row>
    <row r="73" spans="1:2" x14ac:dyDescent="0.2">
      <c r="A73" s="8" t="s">
        <v>147</v>
      </c>
      <c r="B73" s="8" t="s">
        <v>146</v>
      </c>
    </row>
    <row r="74" spans="1:2" x14ac:dyDescent="0.2">
      <c r="A74" s="7" t="s">
        <v>149</v>
      </c>
      <c r="B74" s="7" t="s">
        <v>148</v>
      </c>
    </row>
    <row r="75" spans="1:2" x14ac:dyDescent="0.2">
      <c r="A75" s="8" t="s">
        <v>151</v>
      </c>
      <c r="B75" s="8" t="s">
        <v>150</v>
      </c>
    </row>
    <row r="76" spans="1:2" x14ac:dyDescent="0.2">
      <c r="A76" s="7" t="s">
        <v>153</v>
      </c>
      <c r="B76" s="7" t="s">
        <v>152</v>
      </c>
    </row>
    <row r="77" spans="1:2" x14ac:dyDescent="0.2">
      <c r="A77" s="8" t="s">
        <v>155</v>
      </c>
      <c r="B77" s="8" t="s">
        <v>154</v>
      </c>
    </row>
    <row r="78" spans="1:2" x14ac:dyDescent="0.2">
      <c r="A78" s="7" t="s">
        <v>157</v>
      </c>
      <c r="B78" s="7" t="s">
        <v>156</v>
      </c>
    </row>
    <row r="79" spans="1:2" x14ac:dyDescent="0.2">
      <c r="A79" s="8" t="s">
        <v>159</v>
      </c>
      <c r="B79" s="8" t="s">
        <v>158</v>
      </c>
    </row>
    <row r="80" spans="1:2" x14ac:dyDescent="0.2">
      <c r="A80" s="7" t="s">
        <v>161</v>
      </c>
      <c r="B80" s="7" t="s">
        <v>160</v>
      </c>
    </row>
    <row r="81" spans="1:2" x14ac:dyDescent="0.2">
      <c r="A81" s="8" t="s">
        <v>163</v>
      </c>
      <c r="B81" s="8" t="s">
        <v>162</v>
      </c>
    </row>
    <row r="82" spans="1:2" x14ac:dyDescent="0.2">
      <c r="A82" s="7" t="s">
        <v>165</v>
      </c>
      <c r="B82" s="7" t="s">
        <v>164</v>
      </c>
    </row>
    <row r="83" spans="1:2" x14ac:dyDescent="0.2">
      <c r="A83" s="8" t="s">
        <v>167</v>
      </c>
      <c r="B83" s="8" t="s">
        <v>166</v>
      </c>
    </row>
    <row r="84" spans="1:2" x14ac:dyDescent="0.2">
      <c r="A84" s="7" t="s">
        <v>169</v>
      </c>
      <c r="B84" s="7" t="s">
        <v>168</v>
      </c>
    </row>
    <row r="85" spans="1:2" x14ac:dyDescent="0.2">
      <c r="A85" s="8" t="s">
        <v>171</v>
      </c>
      <c r="B85" s="8" t="s">
        <v>170</v>
      </c>
    </row>
    <row r="86" spans="1:2" x14ac:dyDescent="0.2">
      <c r="A86" s="7" t="s">
        <v>173</v>
      </c>
      <c r="B86" s="7" t="s">
        <v>172</v>
      </c>
    </row>
    <row r="87" spans="1:2" x14ac:dyDescent="0.2">
      <c r="A87" s="8" t="s">
        <v>175</v>
      </c>
      <c r="B87" s="8" t="s">
        <v>174</v>
      </c>
    </row>
    <row r="88" spans="1:2" x14ac:dyDescent="0.2">
      <c r="A88" s="7" t="s">
        <v>177</v>
      </c>
      <c r="B88" s="7" t="s">
        <v>176</v>
      </c>
    </row>
    <row r="89" spans="1:2" x14ac:dyDescent="0.2">
      <c r="A89" s="8" t="s">
        <v>183</v>
      </c>
      <c r="B89" s="8" t="s">
        <v>182</v>
      </c>
    </row>
    <row r="90" spans="1:2" x14ac:dyDescent="0.2">
      <c r="A90" s="7" t="s">
        <v>179</v>
      </c>
      <c r="B90" s="7" t="s">
        <v>178</v>
      </c>
    </row>
    <row r="91" spans="1:2" x14ac:dyDescent="0.2">
      <c r="A91" s="8" t="s">
        <v>181</v>
      </c>
      <c r="B91" s="8" t="s">
        <v>180</v>
      </c>
    </row>
    <row r="92" spans="1:2" x14ac:dyDescent="0.2">
      <c r="A92" s="7" t="s">
        <v>185</v>
      </c>
      <c r="B92" s="7" t="s">
        <v>184</v>
      </c>
    </row>
    <row r="93" spans="1:2" x14ac:dyDescent="0.2">
      <c r="A93" s="8" t="s">
        <v>187</v>
      </c>
      <c r="B93" s="8" t="s">
        <v>186</v>
      </c>
    </row>
    <row r="94" spans="1:2" x14ac:dyDescent="0.2">
      <c r="A94" s="7" t="s">
        <v>189</v>
      </c>
      <c r="B94" s="7" t="s">
        <v>188</v>
      </c>
    </row>
    <row r="95" spans="1:2" x14ac:dyDescent="0.2">
      <c r="A95" s="8" t="s">
        <v>191</v>
      </c>
      <c r="B95" s="8" t="s">
        <v>190</v>
      </c>
    </row>
    <row r="96" spans="1:2" x14ac:dyDescent="0.2">
      <c r="A96" s="7" t="s">
        <v>193</v>
      </c>
      <c r="B96" s="7" t="s">
        <v>192</v>
      </c>
    </row>
    <row r="97" spans="1:2" x14ac:dyDescent="0.2">
      <c r="A97" s="8" t="s">
        <v>195</v>
      </c>
      <c r="B97" s="8" t="s">
        <v>194</v>
      </c>
    </row>
    <row r="98" spans="1:2" x14ac:dyDescent="0.2">
      <c r="A98" s="7" t="s">
        <v>197</v>
      </c>
      <c r="B98" s="7" t="s">
        <v>196</v>
      </c>
    </row>
    <row r="99" spans="1:2" x14ac:dyDescent="0.2">
      <c r="A99" s="8" t="s">
        <v>199</v>
      </c>
      <c r="B99" s="8" t="s">
        <v>198</v>
      </c>
    </row>
    <row r="100" spans="1:2" x14ac:dyDescent="0.2">
      <c r="A100" s="7" t="s">
        <v>201</v>
      </c>
      <c r="B100" s="7" t="s">
        <v>200</v>
      </c>
    </row>
    <row r="101" spans="1:2" x14ac:dyDescent="0.2">
      <c r="A101" s="8" t="s">
        <v>203</v>
      </c>
      <c r="B101" s="8" t="s">
        <v>202</v>
      </c>
    </row>
    <row r="102" spans="1:2" x14ac:dyDescent="0.2">
      <c r="A102" s="7" t="s">
        <v>205</v>
      </c>
      <c r="B102" s="7" t="s">
        <v>204</v>
      </c>
    </row>
    <row r="103" spans="1:2" x14ac:dyDescent="0.2">
      <c r="A103" s="8" t="s">
        <v>207</v>
      </c>
      <c r="B103" s="8" t="s">
        <v>206</v>
      </c>
    </row>
    <row r="104" spans="1:2" x14ac:dyDescent="0.2">
      <c r="A104" s="7" t="s">
        <v>209</v>
      </c>
      <c r="B104" s="7" t="s">
        <v>208</v>
      </c>
    </row>
    <row r="105" spans="1:2" x14ac:dyDescent="0.2">
      <c r="A105" s="8" t="s">
        <v>211</v>
      </c>
      <c r="B105" s="8" t="s">
        <v>210</v>
      </c>
    </row>
    <row r="106" spans="1:2" x14ac:dyDescent="0.2">
      <c r="A106" s="7" t="s">
        <v>213</v>
      </c>
      <c r="B106" s="7" t="s">
        <v>212</v>
      </c>
    </row>
    <row r="107" spans="1:2" x14ac:dyDescent="0.2">
      <c r="A107" s="8" t="s">
        <v>215</v>
      </c>
      <c r="B107" s="8" t="s">
        <v>214</v>
      </c>
    </row>
    <row r="108" spans="1:2" x14ac:dyDescent="0.2">
      <c r="A108" s="7" t="s">
        <v>217</v>
      </c>
      <c r="B108" s="7" t="s">
        <v>216</v>
      </c>
    </row>
    <row r="109" spans="1:2" x14ac:dyDescent="0.2">
      <c r="A109" s="8" t="s">
        <v>219</v>
      </c>
      <c r="B109" s="8" t="s">
        <v>218</v>
      </c>
    </row>
    <row r="110" spans="1:2" x14ac:dyDescent="0.2">
      <c r="A110" s="7" t="s">
        <v>221</v>
      </c>
      <c r="B110" s="7" t="s">
        <v>220</v>
      </c>
    </row>
    <row r="111" spans="1:2" x14ac:dyDescent="0.2">
      <c r="A111" s="8" t="s">
        <v>223</v>
      </c>
      <c r="B111" s="8" t="s">
        <v>222</v>
      </c>
    </row>
    <row r="112" spans="1:2" x14ac:dyDescent="0.2">
      <c r="A112" s="7" t="s">
        <v>225</v>
      </c>
      <c r="B112" s="7" t="s">
        <v>224</v>
      </c>
    </row>
    <row r="113" spans="1:2" x14ac:dyDescent="0.2">
      <c r="A113" s="8" t="s">
        <v>227</v>
      </c>
      <c r="B113" s="8" t="s">
        <v>226</v>
      </c>
    </row>
    <row r="114" spans="1:2" x14ac:dyDescent="0.2">
      <c r="A114" s="7" t="s">
        <v>229</v>
      </c>
      <c r="B114" s="7" t="s">
        <v>228</v>
      </c>
    </row>
    <row r="115" spans="1:2" x14ac:dyDescent="0.2">
      <c r="A115" s="8" t="s">
        <v>233</v>
      </c>
      <c r="B115" s="8" t="s">
        <v>232</v>
      </c>
    </row>
    <row r="116" spans="1:2" x14ac:dyDescent="0.2">
      <c r="A116" s="7" t="s">
        <v>231</v>
      </c>
      <c r="B116" s="7" t="s">
        <v>230</v>
      </c>
    </row>
    <row r="117" spans="1:2" x14ac:dyDescent="0.2">
      <c r="A117" s="8" t="s">
        <v>235</v>
      </c>
      <c r="B117" s="8" t="s">
        <v>234</v>
      </c>
    </row>
    <row r="118" spans="1:2" x14ac:dyDescent="0.2">
      <c r="A118" s="7" t="s">
        <v>237</v>
      </c>
      <c r="B118" s="7" t="s">
        <v>236</v>
      </c>
    </row>
    <row r="119" spans="1:2" x14ac:dyDescent="0.2">
      <c r="A119" s="8" t="s">
        <v>241</v>
      </c>
      <c r="B119" s="8" t="s">
        <v>240</v>
      </c>
    </row>
    <row r="120" spans="1:2" x14ac:dyDescent="0.2">
      <c r="A120" s="7" t="s">
        <v>239</v>
      </c>
      <c r="B120" s="7" t="s">
        <v>238</v>
      </c>
    </row>
    <row r="121" spans="1:2" x14ac:dyDescent="0.2">
      <c r="A121" s="8" t="s">
        <v>243</v>
      </c>
      <c r="B121" s="8" t="s">
        <v>242</v>
      </c>
    </row>
    <row r="122" spans="1:2" x14ac:dyDescent="0.2">
      <c r="A122" s="7" t="s">
        <v>247</v>
      </c>
      <c r="B122" s="7" t="s">
        <v>637</v>
      </c>
    </row>
    <row r="123" spans="1:2" x14ac:dyDescent="0.2">
      <c r="A123" s="8" t="s">
        <v>245</v>
      </c>
      <c r="B123" s="8" t="s">
        <v>244</v>
      </c>
    </row>
    <row r="124" spans="1:2" x14ac:dyDescent="0.2">
      <c r="A124" s="7" t="s">
        <v>249</v>
      </c>
      <c r="B124" s="7" t="s">
        <v>248</v>
      </c>
    </row>
    <row r="125" spans="1:2" x14ac:dyDescent="0.2">
      <c r="A125" s="8" t="s">
        <v>251</v>
      </c>
      <c r="B125" s="8" t="s">
        <v>250</v>
      </c>
    </row>
    <row r="126" spans="1:2" x14ac:dyDescent="0.2">
      <c r="A126" s="7" t="s">
        <v>253</v>
      </c>
      <c r="B126" s="7" t="s">
        <v>252</v>
      </c>
    </row>
    <row r="127" spans="1:2" x14ac:dyDescent="0.2">
      <c r="A127" s="8" t="s">
        <v>255</v>
      </c>
      <c r="B127" s="8" t="s">
        <v>254</v>
      </c>
    </row>
    <row r="128" spans="1:2" x14ac:dyDescent="0.2">
      <c r="A128" s="7" t="s">
        <v>257</v>
      </c>
      <c r="B128" s="7" t="s">
        <v>256</v>
      </c>
    </row>
    <row r="129" spans="1:2" x14ac:dyDescent="0.2">
      <c r="A129" s="8" t="s">
        <v>259</v>
      </c>
      <c r="B129" s="8" t="s">
        <v>258</v>
      </c>
    </row>
    <row r="130" spans="1:2" x14ac:dyDescent="0.2">
      <c r="A130" s="7" t="s">
        <v>261</v>
      </c>
      <c r="B130" s="7" t="s">
        <v>260</v>
      </c>
    </row>
    <row r="131" spans="1:2" x14ac:dyDescent="0.2">
      <c r="A131" s="8" t="s">
        <v>263</v>
      </c>
      <c r="B131" s="8" t="s">
        <v>262</v>
      </c>
    </row>
    <row r="132" spans="1:2" x14ac:dyDescent="0.2">
      <c r="A132" s="7" t="s">
        <v>265</v>
      </c>
      <c r="B132" s="7" t="s">
        <v>264</v>
      </c>
    </row>
    <row r="133" spans="1:2" x14ac:dyDescent="0.2">
      <c r="A133" s="8" t="s">
        <v>267</v>
      </c>
      <c r="B133" s="8" t="s">
        <v>266</v>
      </c>
    </row>
    <row r="134" spans="1:2" x14ac:dyDescent="0.2">
      <c r="A134" s="7" t="s">
        <v>271</v>
      </c>
      <c r="B134" s="7" t="s">
        <v>270</v>
      </c>
    </row>
    <row r="135" spans="1:2" x14ac:dyDescent="0.2">
      <c r="A135" s="8" t="s">
        <v>269</v>
      </c>
      <c r="B135" s="8" t="s">
        <v>268</v>
      </c>
    </row>
    <row r="136" spans="1:2" x14ac:dyDescent="0.2">
      <c r="A136" s="7" t="s">
        <v>273</v>
      </c>
      <c r="B136" s="7" t="s">
        <v>272</v>
      </c>
    </row>
    <row r="137" spans="1:2" x14ac:dyDescent="0.2">
      <c r="A137" s="8" t="s">
        <v>275</v>
      </c>
      <c r="B137" s="8" t="s">
        <v>274</v>
      </c>
    </row>
    <row r="138" spans="1:2" x14ac:dyDescent="0.2">
      <c r="A138" s="7" t="s">
        <v>277</v>
      </c>
      <c r="B138" s="7" t="s">
        <v>276</v>
      </c>
    </row>
    <row r="139" spans="1:2" x14ac:dyDescent="0.2">
      <c r="A139" s="8" t="s">
        <v>279</v>
      </c>
      <c r="B139" s="8" t="s">
        <v>278</v>
      </c>
    </row>
    <row r="140" spans="1:2" x14ac:dyDescent="0.2">
      <c r="A140" s="7" t="s">
        <v>301</v>
      </c>
      <c r="B140" s="7" t="s">
        <v>300</v>
      </c>
    </row>
    <row r="141" spans="1:2" x14ac:dyDescent="0.2">
      <c r="A141" s="8" t="s">
        <v>281</v>
      </c>
      <c r="B141" s="8" t="s">
        <v>280</v>
      </c>
    </row>
    <row r="142" spans="1:2" x14ac:dyDescent="0.2">
      <c r="A142" s="7" t="s">
        <v>283</v>
      </c>
      <c r="B142" s="7" t="s">
        <v>282</v>
      </c>
    </row>
    <row r="143" spans="1:2" x14ac:dyDescent="0.2">
      <c r="A143" s="8" t="s">
        <v>285</v>
      </c>
      <c r="B143" s="8" t="s">
        <v>284</v>
      </c>
    </row>
    <row r="144" spans="1:2" x14ac:dyDescent="0.2">
      <c r="A144" s="7" t="s">
        <v>287</v>
      </c>
      <c r="B144" s="7" t="s">
        <v>286</v>
      </c>
    </row>
    <row r="145" spans="1:2" x14ac:dyDescent="0.2">
      <c r="A145" s="8" t="s">
        <v>289</v>
      </c>
      <c r="B145" s="8" t="s">
        <v>288</v>
      </c>
    </row>
    <row r="146" spans="1:2" x14ac:dyDescent="0.2">
      <c r="A146" s="7" t="s">
        <v>291</v>
      </c>
      <c r="B146" s="7" t="s">
        <v>290</v>
      </c>
    </row>
    <row r="147" spans="1:2" x14ac:dyDescent="0.2">
      <c r="A147" s="8" t="s">
        <v>293</v>
      </c>
      <c r="B147" s="8" t="s">
        <v>292</v>
      </c>
    </row>
    <row r="148" spans="1:2" x14ac:dyDescent="0.2">
      <c r="A148" s="7" t="s">
        <v>295</v>
      </c>
      <c r="B148" s="7" t="s">
        <v>294</v>
      </c>
    </row>
    <row r="149" spans="1:2" x14ac:dyDescent="0.2">
      <c r="A149" s="8" t="s">
        <v>297</v>
      </c>
      <c r="B149" s="8" t="s">
        <v>296</v>
      </c>
    </row>
    <row r="150" spans="1:2" x14ac:dyDescent="0.2">
      <c r="A150" s="7" t="s">
        <v>31</v>
      </c>
      <c r="B150" s="7" t="s">
        <v>30</v>
      </c>
    </row>
    <row r="151" spans="1:2" x14ac:dyDescent="0.2">
      <c r="A151" s="8" t="s">
        <v>299</v>
      </c>
      <c r="B151" s="8" t="s">
        <v>298</v>
      </c>
    </row>
    <row r="152" spans="1:2" x14ac:dyDescent="0.2">
      <c r="A152" s="7" t="s">
        <v>303</v>
      </c>
      <c r="B152" s="7" t="s">
        <v>302</v>
      </c>
    </row>
    <row r="153" spans="1:2" x14ac:dyDescent="0.2">
      <c r="A153" s="8" t="s">
        <v>307</v>
      </c>
      <c r="B153" s="8" t="s">
        <v>306</v>
      </c>
    </row>
    <row r="154" spans="1:2" x14ac:dyDescent="0.2">
      <c r="A154" s="7" t="s">
        <v>305</v>
      </c>
      <c r="B154" s="7" t="s">
        <v>304</v>
      </c>
    </row>
    <row r="155" spans="1:2" x14ac:dyDescent="0.2">
      <c r="A155" s="8" t="s">
        <v>309</v>
      </c>
      <c r="B155" s="8" t="s">
        <v>308</v>
      </c>
    </row>
    <row r="156" spans="1:2" x14ac:dyDescent="0.2">
      <c r="A156" s="7" t="s">
        <v>311</v>
      </c>
      <c r="B156" s="7" t="s">
        <v>310</v>
      </c>
    </row>
    <row r="157" spans="1:2" x14ac:dyDescent="0.2">
      <c r="A157" s="8" t="s">
        <v>313</v>
      </c>
      <c r="B157" s="8" t="s">
        <v>312</v>
      </c>
    </row>
    <row r="158" spans="1:2" x14ac:dyDescent="0.2">
      <c r="A158" s="7" t="s">
        <v>315</v>
      </c>
      <c r="B158" s="7" t="s">
        <v>314</v>
      </c>
    </row>
    <row r="159" spans="1:2" x14ac:dyDescent="0.2">
      <c r="A159" s="8" t="s">
        <v>317</v>
      </c>
      <c r="B159" s="8" t="s">
        <v>316</v>
      </c>
    </row>
    <row r="160" spans="1:2" x14ac:dyDescent="0.2">
      <c r="A160" s="7" t="s">
        <v>319</v>
      </c>
      <c r="B160" s="7" t="s">
        <v>318</v>
      </c>
    </row>
    <row r="161" spans="1:2" x14ac:dyDescent="0.2">
      <c r="A161" s="8" t="s">
        <v>321</v>
      </c>
      <c r="B161" s="8" t="s">
        <v>320</v>
      </c>
    </row>
    <row r="162" spans="1:2" x14ac:dyDescent="0.2">
      <c r="A162" s="7" t="s">
        <v>323</v>
      </c>
      <c r="B162" s="7" t="s">
        <v>322</v>
      </c>
    </row>
    <row r="163" spans="1:2" x14ac:dyDescent="0.2">
      <c r="A163" s="8" t="s">
        <v>325</v>
      </c>
      <c r="B163" s="8" t="s">
        <v>324</v>
      </c>
    </row>
    <row r="164" spans="1:2" x14ac:dyDescent="0.2">
      <c r="A164" s="7" t="s">
        <v>327</v>
      </c>
      <c r="B164" s="7" t="s">
        <v>326</v>
      </c>
    </row>
    <row r="165" spans="1:2" x14ac:dyDescent="0.2">
      <c r="A165" s="8" t="s">
        <v>329</v>
      </c>
      <c r="B165" s="8" t="s">
        <v>328</v>
      </c>
    </row>
    <row r="166" spans="1:2" x14ac:dyDescent="0.2">
      <c r="A166" s="7" t="s">
        <v>331</v>
      </c>
      <c r="B166" s="7" t="s">
        <v>330</v>
      </c>
    </row>
    <row r="167" spans="1:2" x14ac:dyDescent="0.2">
      <c r="A167" s="8" t="s">
        <v>333</v>
      </c>
      <c r="B167" s="8" t="s">
        <v>332</v>
      </c>
    </row>
    <row r="168" spans="1:2" x14ac:dyDescent="0.2">
      <c r="A168" s="7" t="s">
        <v>335</v>
      </c>
      <c r="B168" s="7" t="s">
        <v>334</v>
      </c>
    </row>
    <row r="169" spans="1:2" x14ac:dyDescent="0.2">
      <c r="A169" s="8" t="s">
        <v>337</v>
      </c>
      <c r="B169" s="8" t="s">
        <v>336</v>
      </c>
    </row>
    <row r="170" spans="1:2" x14ac:dyDescent="0.2">
      <c r="A170" s="7" t="s">
        <v>339</v>
      </c>
      <c r="B170" s="7" t="s">
        <v>338</v>
      </c>
    </row>
    <row r="171" spans="1:2" x14ac:dyDescent="0.2">
      <c r="A171" s="8" t="s">
        <v>341</v>
      </c>
      <c r="B171" s="8" t="s">
        <v>340</v>
      </c>
    </row>
    <row r="172" spans="1:2" x14ac:dyDescent="0.2">
      <c r="A172" s="7" t="s">
        <v>343</v>
      </c>
      <c r="B172" s="7" t="s">
        <v>342</v>
      </c>
    </row>
    <row r="173" spans="1:2" x14ac:dyDescent="0.2">
      <c r="A173" s="8" t="s">
        <v>345</v>
      </c>
      <c r="B173" s="8" t="s">
        <v>344</v>
      </c>
    </row>
    <row r="174" spans="1:2" x14ac:dyDescent="0.2">
      <c r="A174" s="7" t="s">
        <v>347</v>
      </c>
      <c r="B174" s="7" t="s">
        <v>346</v>
      </c>
    </row>
    <row r="175" spans="1:2" x14ac:dyDescent="0.2">
      <c r="A175" s="8" t="s">
        <v>351</v>
      </c>
      <c r="B175" s="8" t="s">
        <v>350</v>
      </c>
    </row>
    <row r="176" spans="1:2" x14ac:dyDescent="0.2">
      <c r="A176" s="7" t="s">
        <v>349</v>
      </c>
      <c r="B176" s="7" t="s">
        <v>348</v>
      </c>
    </row>
    <row r="177" spans="1:2" x14ac:dyDescent="0.2">
      <c r="A177" s="8" t="s">
        <v>353</v>
      </c>
      <c r="B177" s="8" t="s">
        <v>352</v>
      </c>
    </row>
    <row r="178" spans="1:2" x14ac:dyDescent="0.2">
      <c r="A178" s="7" t="s">
        <v>355</v>
      </c>
      <c r="B178" s="7" t="s">
        <v>354</v>
      </c>
    </row>
    <row r="179" spans="1:2" x14ac:dyDescent="0.2">
      <c r="A179" s="8" t="s">
        <v>357</v>
      </c>
      <c r="B179" s="8" t="s">
        <v>356</v>
      </c>
    </row>
    <row r="180" spans="1:2" x14ac:dyDescent="0.2">
      <c r="A180" s="7" t="s">
        <v>449</v>
      </c>
      <c r="B180" s="7" t="s">
        <v>448</v>
      </c>
    </row>
    <row r="181" spans="1:2" x14ac:dyDescent="0.2">
      <c r="A181" s="8" t="s">
        <v>359</v>
      </c>
      <c r="B181" s="8" t="s">
        <v>358</v>
      </c>
    </row>
    <row r="182" spans="1:2" x14ac:dyDescent="0.2">
      <c r="A182" s="7" t="s">
        <v>361</v>
      </c>
      <c r="B182" s="7" t="s">
        <v>360</v>
      </c>
    </row>
    <row r="183" spans="1:2" x14ac:dyDescent="0.2">
      <c r="A183" s="8" t="s">
        <v>365</v>
      </c>
      <c r="B183" s="8" t="s">
        <v>364</v>
      </c>
    </row>
    <row r="184" spans="1:2" x14ac:dyDescent="0.2">
      <c r="A184" s="7" t="s">
        <v>363</v>
      </c>
      <c r="B184" s="7" t="s">
        <v>362</v>
      </c>
    </row>
    <row r="185" spans="1:2" x14ac:dyDescent="0.2">
      <c r="A185" s="8" t="s">
        <v>367</v>
      </c>
      <c r="B185" s="8" t="s">
        <v>366</v>
      </c>
    </row>
    <row r="186" spans="1:2" x14ac:dyDescent="0.2">
      <c r="A186" s="7" t="s">
        <v>369</v>
      </c>
      <c r="B186" s="7" t="s">
        <v>368</v>
      </c>
    </row>
    <row r="187" spans="1:2" x14ac:dyDescent="0.2">
      <c r="A187" s="8" t="s">
        <v>371</v>
      </c>
      <c r="B187" s="8" t="s">
        <v>370</v>
      </c>
    </row>
    <row r="188" spans="1:2" x14ac:dyDescent="0.2">
      <c r="A188" s="7" t="s">
        <v>373</v>
      </c>
      <c r="B188" s="7" t="s">
        <v>372</v>
      </c>
    </row>
    <row r="189" spans="1:2" x14ac:dyDescent="0.2">
      <c r="A189" s="8" t="s">
        <v>375</v>
      </c>
      <c r="B189" s="8" t="s">
        <v>374</v>
      </c>
    </row>
    <row r="190" spans="1:2" x14ac:dyDescent="0.2">
      <c r="A190" s="7" t="s">
        <v>377</v>
      </c>
      <c r="B190" s="7" t="s">
        <v>376</v>
      </c>
    </row>
    <row r="191" spans="1:2" x14ac:dyDescent="0.2">
      <c r="A191" s="8" t="s">
        <v>379</v>
      </c>
      <c r="B191" s="8" t="s">
        <v>378</v>
      </c>
    </row>
    <row r="192" spans="1:2" x14ac:dyDescent="0.2">
      <c r="A192" s="7" t="s">
        <v>381</v>
      </c>
      <c r="B192" s="7" t="s">
        <v>380</v>
      </c>
    </row>
    <row r="193" spans="1:2" x14ac:dyDescent="0.2">
      <c r="A193" s="8" t="s">
        <v>383</v>
      </c>
      <c r="B193" s="8" t="s">
        <v>382</v>
      </c>
    </row>
    <row r="194" spans="1:2" x14ac:dyDescent="0.2">
      <c r="A194" s="7" t="s">
        <v>385</v>
      </c>
      <c r="B194" s="7" t="s">
        <v>384</v>
      </c>
    </row>
    <row r="195" spans="1:2" x14ac:dyDescent="0.2">
      <c r="A195" s="8" t="s">
        <v>387</v>
      </c>
      <c r="B195" s="8" t="s">
        <v>386</v>
      </c>
    </row>
    <row r="196" spans="1:2" x14ac:dyDescent="0.2">
      <c r="A196" s="7" t="s">
        <v>389</v>
      </c>
      <c r="B196" s="7" t="s">
        <v>388</v>
      </c>
    </row>
    <row r="197" spans="1:2" x14ac:dyDescent="0.2">
      <c r="A197" s="8" t="s">
        <v>391</v>
      </c>
      <c r="B197" s="8" t="s">
        <v>390</v>
      </c>
    </row>
    <row r="198" spans="1:2" x14ac:dyDescent="0.2">
      <c r="A198" s="7" t="s">
        <v>393</v>
      </c>
      <c r="B198" s="7" t="s">
        <v>392</v>
      </c>
    </row>
    <row r="199" spans="1:2" x14ac:dyDescent="0.2">
      <c r="A199" s="8" t="s">
        <v>395</v>
      </c>
      <c r="B199" s="8" t="s">
        <v>394</v>
      </c>
    </row>
    <row r="200" spans="1:2" x14ac:dyDescent="0.2">
      <c r="A200" s="7" t="s">
        <v>397</v>
      </c>
      <c r="B200" s="7" t="s">
        <v>396</v>
      </c>
    </row>
    <row r="201" spans="1:2" x14ac:dyDescent="0.2">
      <c r="A201" s="8" t="s">
        <v>399</v>
      </c>
      <c r="B201" s="8" t="s">
        <v>398</v>
      </c>
    </row>
    <row r="202" spans="1:2" x14ac:dyDescent="0.2">
      <c r="A202" s="7" t="s">
        <v>401</v>
      </c>
      <c r="B202" s="7" t="s">
        <v>400</v>
      </c>
    </row>
    <row r="203" spans="1:2" x14ac:dyDescent="0.2">
      <c r="A203" s="8" t="s">
        <v>403</v>
      </c>
      <c r="B203" s="8" t="s">
        <v>402</v>
      </c>
    </row>
    <row r="204" spans="1:2" x14ac:dyDescent="0.2">
      <c r="A204" s="7" t="s">
        <v>409</v>
      </c>
      <c r="B204" s="7" t="s">
        <v>408</v>
      </c>
    </row>
    <row r="205" spans="1:2" x14ac:dyDescent="0.2">
      <c r="A205" s="8" t="s">
        <v>405</v>
      </c>
      <c r="B205" s="8" t="s">
        <v>404</v>
      </c>
    </row>
    <row r="206" spans="1:2" x14ac:dyDescent="0.2">
      <c r="A206" s="7" t="s">
        <v>407</v>
      </c>
      <c r="B206" s="7" t="s">
        <v>406</v>
      </c>
    </row>
    <row r="207" spans="1:2" x14ac:dyDescent="0.2">
      <c r="A207" s="8" t="s">
        <v>411</v>
      </c>
      <c r="B207" s="8" t="s">
        <v>410</v>
      </c>
    </row>
    <row r="208" spans="1:2" x14ac:dyDescent="0.2">
      <c r="A208" s="7" t="s">
        <v>413</v>
      </c>
      <c r="B208" s="7" t="s">
        <v>412</v>
      </c>
    </row>
    <row r="209" spans="1:2" x14ac:dyDescent="0.2">
      <c r="A209" s="8" t="s">
        <v>415</v>
      </c>
      <c r="B209" s="8" t="s">
        <v>414</v>
      </c>
    </row>
    <row r="210" spans="1:2" x14ac:dyDescent="0.2">
      <c r="A210" s="7" t="s">
        <v>417</v>
      </c>
      <c r="B210" s="7" t="s">
        <v>416</v>
      </c>
    </row>
    <row r="211" spans="1:2" x14ac:dyDescent="0.2">
      <c r="A211" s="8" t="s">
        <v>419</v>
      </c>
      <c r="B211" s="8" t="s">
        <v>418</v>
      </c>
    </row>
    <row r="212" spans="1:2" x14ac:dyDescent="0.2">
      <c r="A212" s="7" t="s">
        <v>421</v>
      </c>
      <c r="B212" s="7" t="s">
        <v>420</v>
      </c>
    </row>
    <row r="213" spans="1:2" x14ac:dyDescent="0.2">
      <c r="A213" s="8" t="s">
        <v>423</v>
      </c>
      <c r="B213" s="8" t="s">
        <v>422</v>
      </c>
    </row>
    <row r="214" spans="1:2" x14ac:dyDescent="0.2">
      <c r="A214" s="7" t="s">
        <v>425</v>
      </c>
      <c r="B214" s="7" t="s">
        <v>424</v>
      </c>
    </row>
    <row r="215" spans="1:2" x14ac:dyDescent="0.2">
      <c r="A215" s="8" t="s">
        <v>427</v>
      </c>
      <c r="B215" s="8" t="s">
        <v>426</v>
      </c>
    </row>
    <row r="216" spans="1:2" x14ac:dyDescent="0.2">
      <c r="A216" s="7" t="s">
        <v>429</v>
      </c>
      <c r="B216" s="7" t="s">
        <v>428</v>
      </c>
    </row>
    <row r="217" spans="1:2" x14ac:dyDescent="0.2">
      <c r="A217" s="8" t="s">
        <v>433</v>
      </c>
      <c r="B217" s="8" t="s">
        <v>432</v>
      </c>
    </row>
    <row r="218" spans="1:2" x14ac:dyDescent="0.2">
      <c r="A218" s="7" t="s">
        <v>431</v>
      </c>
      <c r="B218" s="7" t="s">
        <v>430</v>
      </c>
    </row>
    <row r="219" spans="1:2" x14ac:dyDescent="0.2">
      <c r="A219" s="8" t="s">
        <v>435</v>
      </c>
      <c r="B219" s="8" t="s">
        <v>434</v>
      </c>
    </row>
    <row r="220" spans="1:2" x14ac:dyDescent="0.2">
      <c r="A220" s="7" t="s">
        <v>437</v>
      </c>
      <c r="B220" s="7" t="s">
        <v>436</v>
      </c>
    </row>
    <row r="221" spans="1:2" x14ac:dyDescent="0.2">
      <c r="A221" s="8" t="s">
        <v>439</v>
      </c>
      <c r="B221" s="8" t="s">
        <v>438</v>
      </c>
    </row>
    <row r="222" spans="1:2" x14ac:dyDescent="0.2">
      <c r="A222" s="7" t="s">
        <v>441</v>
      </c>
      <c r="B222" s="7" t="s">
        <v>440</v>
      </c>
    </row>
    <row r="223" spans="1:2" x14ac:dyDescent="0.2">
      <c r="A223" s="8" t="s">
        <v>443</v>
      </c>
      <c r="B223" s="8" t="s">
        <v>442</v>
      </c>
    </row>
    <row r="224" spans="1:2" x14ac:dyDescent="0.2">
      <c r="A224" s="7" t="s">
        <v>445</v>
      </c>
      <c r="B224" s="7" t="s">
        <v>444</v>
      </c>
    </row>
    <row r="225" spans="1:2" x14ac:dyDescent="0.2">
      <c r="A225" s="8" t="s">
        <v>447</v>
      </c>
      <c r="B225" s="8" t="s">
        <v>446</v>
      </c>
    </row>
    <row r="226" spans="1:2" x14ac:dyDescent="0.2">
      <c r="A226" s="7" t="s">
        <v>451</v>
      </c>
      <c r="B226" s="7" t="s">
        <v>450</v>
      </c>
    </row>
    <row r="227" spans="1:2" x14ac:dyDescent="0.2">
      <c r="A227" s="8" t="s">
        <v>453</v>
      </c>
      <c r="B227" s="8" t="s">
        <v>452</v>
      </c>
    </row>
    <row r="228" spans="1:2" x14ac:dyDescent="0.2">
      <c r="A228" s="7" t="s">
        <v>455</v>
      </c>
      <c r="B228" s="7" t="s">
        <v>454</v>
      </c>
    </row>
    <row r="229" spans="1:2" x14ac:dyDescent="0.2">
      <c r="A229" s="8" t="s">
        <v>457</v>
      </c>
      <c r="B229" s="8" t="s">
        <v>456</v>
      </c>
    </row>
    <row r="230" spans="1:2" x14ac:dyDescent="0.2">
      <c r="A230" s="7" t="s">
        <v>459</v>
      </c>
      <c r="B230" s="7" t="s">
        <v>458</v>
      </c>
    </row>
    <row r="231" spans="1:2" x14ac:dyDescent="0.2">
      <c r="A231" s="8" t="s">
        <v>461</v>
      </c>
      <c r="B231" s="8" t="s">
        <v>460</v>
      </c>
    </row>
    <row r="232" spans="1:2" x14ac:dyDescent="0.2">
      <c r="A232" s="7" t="s">
        <v>463</v>
      </c>
      <c r="B232" s="7" t="s">
        <v>462</v>
      </c>
    </row>
    <row r="233" spans="1:2" x14ac:dyDescent="0.2">
      <c r="A233" s="8" t="s">
        <v>465</v>
      </c>
      <c r="B233" s="8" t="s">
        <v>464</v>
      </c>
    </row>
    <row r="234" spans="1:2" x14ac:dyDescent="0.2">
      <c r="A234" s="7" t="s">
        <v>467</v>
      </c>
      <c r="B234" s="7" t="s">
        <v>466</v>
      </c>
    </row>
    <row r="235" spans="1:2" x14ac:dyDescent="0.2">
      <c r="A235" s="8" t="s">
        <v>469</v>
      </c>
      <c r="B235" s="8" t="s">
        <v>468</v>
      </c>
    </row>
    <row r="236" spans="1:2" x14ac:dyDescent="0.2">
      <c r="A236" s="7" t="s">
        <v>471</v>
      </c>
      <c r="B236" s="7" t="s">
        <v>470</v>
      </c>
    </row>
    <row r="237" spans="1:2" x14ac:dyDescent="0.2">
      <c r="A237" s="8" t="s">
        <v>473</v>
      </c>
      <c r="B237" s="8" t="s">
        <v>472</v>
      </c>
    </row>
    <row r="238" spans="1:2" x14ac:dyDescent="0.2">
      <c r="A238" s="7" t="s">
        <v>475</v>
      </c>
      <c r="B238" s="7" t="s">
        <v>474</v>
      </c>
    </row>
    <row r="239" spans="1:2" x14ac:dyDescent="0.2">
      <c r="A239" s="8" t="s">
        <v>477</v>
      </c>
      <c r="B239" s="8" t="s">
        <v>476</v>
      </c>
    </row>
    <row r="240" spans="1:2" x14ac:dyDescent="0.2">
      <c r="A240" s="7" t="s">
        <v>479</v>
      </c>
      <c r="B240" s="7" t="s">
        <v>478</v>
      </c>
    </row>
    <row r="241" spans="1:2" x14ac:dyDescent="0.2">
      <c r="A241" s="8" t="s">
        <v>481</v>
      </c>
      <c r="B241" s="8" t="s">
        <v>480</v>
      </c>
    </row>
    <row r="242" spans="1:2" x14ac:dyDescent="0.2">
      <c r="A242" s="7" t="s">
        <v>483</v>
      </c>
      <c r="B242" s="7" t="s">
        <v>482</v>
      </c>
    </row>
    <row r="243" spans="1:2" x14ac:dyDescent="0.2">
      <c r="A243" s="8" t="s">
        <v>485</v>
      </c>
      <c r="B243" s="8" t="s">
        <v>484</v>
      </c>
    </row>
    <row r="244" spans="1:2" x14ac:dyDescent="0.2">
      <c r="A244" s="7" t="s">
        <v>487</v>
      </c>
      <c r="B244" s="7" t="s">
        <v>486</v>
      </c>
    </row>
    <row r="245" spans="1:2" x14ac:dyDescent="0.2">
      <c r="A245" s="8" t="s">
        <v>489</v>
      </c>
      <c r="B245" s="8" t="s">
        <v>488</v>
      </c>
    </row>
    <row r="246" spans="1:2" x14ac:dyDescent="0.2">
      <c r="A246" s="7" t="s">
        <v>491</v>
      </c>
      <c r="B246" s="7" t="s">
        <v>490</v>
      </c>
    </row>
    <row r="247" spans="1:2" x14ac:dyDescent="0.2">
      <c r="A247" s="8" t="s">
        <v>493</v>
      </c>
      <c r="B247" s="8" t="s">
        <v>492</v>
      </c>
    </row>
    <row r="248" spans="1:2" x14ac:dyDescent="0.2">
      <c r="A248" s="7" t="s">
        <v>495</v>
      </c>
      <c r="B248" s="7" t="s">
        <v>494</v>
      </c>
    </row>
    <row r="249" spans="1:2" x14ac:dyDescent="0.2">
      <c r="A249" s="8" t="s">
        <v>497</v>
      </c>
      <c r="B249" s="8" t="s">
        <v>496</v>
      </c>
    </row>
    <row r="250" spans="1:2" x14ac:dyDescent="0.2">
      <c r="A250" s="7" t="s">
        <v>499</v>
      </c>
      <c r="B250" s="7" t="s">
        <v>498</v>
      </c>
    </row>
    <row r="251" spans="1:2" x14ac:dyDescent="0.2">
      <c r="A251" s="8" t="s">
        <v>501</v>
      </c>
      <c r="B251" s="8" t="s">
        <v>500</v>
      </c>
    </row>
    <row r="252" spans="1:2" x14ac:dyDescent="0.2">
      <c r="A252" s="7" t="s">
        <v>503</v>
      </c>
      <c r="B252" s="7" t="s">
        <v>502</v>
      </c>
    </row>
    <row r="253" spans="1:2" x14ac:dyDescent="0.2">
      <c r="A253" s="8" t="s">
        <v>505</v>
      </c>
      <c r="B253" s="8" t="s">
        <v>504</v>
      </c>
    </row>
    <row r="254" spans="1:2" x14ac:dyDescent="0.2">
      <c r="A254" s="7" t="s">
        <v>507</v>
      </c>
      <c r="B254" s="7" t="s">
        <v>506</v>
      </c>
    </row>
    <row r="255" spans="1:2" x14ac:dyDescent="0.2">
      <c r="A255" s="8" t="s">
        <v>509</v>
      </c>
      <c r="B255" s="8" t="s">
        <v>508</v>
      </c>
    </row>
    <row r="256" spans="1:2" x14ac:dyDescent="0.2">
      <c r="A256" s="7" t="s">
        <v>511</v>
      </c>
      <c r="B256" s="7" t="s">
        <v>510</v>
      </c>
    </row>
    <row r="257" spans="1:2" x14ac:dyDescent="0.2">
      <c r="A257" s="8" t="s">
        <v>513</v>
      </c>
      <c r="B257" s="8" t="s">
        <v>512</v>
      </c>
    </row>
    <row r="258" spans="1:2" x14ac:dyDescent="0.2">
      <c r="A258" s="7" t="s">
        <v>515</v>
      </c>
      <c r="B258" s="7" t="s">
        <v>514</v>
      </c>
    </row>
    <row r="259" spans="1:2" x14ac:dyDescent="0.2">
      <c r="A259" s="8" t="s">
        <v>517</v>
      </c>
      <c r="B259" s="8" t="s">
        <v>516</v>
      </c>
    </row>
    <row r="260" spans="1:2" x14ac:dyDescent="0.2">
      <c r="A260" s="7" t="s">
        <v>519</v>
      </c>
      <c r="B260" s="7" t="s">
        <v>518</v>
      </c>
    </row>
    <row r="261" spans="1:2" x14ac:dyDescent="0.2">
      <c r="A261" s="8" t="s">
        <v>521</v>
      </c>
      <c r="B261" s="8" t="s">
        <v>520</v>
      </c>
    </row>
    <row r="262" spans="1:2" x14ac:dyDescent="0.2">
      <c r="A262" s="7" t="s">
        <v>525</v>
      </c>
      <c r="B262" s="7" t="s">
        <v>524</v>
      </c>
    </row>
    <row r="263" spans="1:2" x14ac:dyDescent="0.2">
      <c r="A263" s="8" t="s">
        <v>523</v>
      </c>
      <c r="B263" s="8" t="s">
        <v>522</v>
      </c>
    </row>
    <row r="264" spans="1:2" x14ac:dyDescent="0.2">
      <c r="A264" s="7" t="s">
        <v>527</v>
      </c>
      <c r="B264" s="7" t="s">
        <v>526</v>
      </c>
    </row>
    <row r="265" spans="1:2" x14ac:dyDescent="0.2">
      <c r="A265" s="8" t="s">
        <v>529</v>
      </c>
      <c r="B265" s="8" t="s">
        <v>528</v>
      </c>
    </row>
    <row r="266" spans="1:2" x14ac:dyDescent="0.2">
      <c r="A266" s="7" t="s">
        <v>531</v>
      </c>
      <c r="B266" s="7" t="s">
        <v>530</v>
      </c>
    </row>
    <row r="267" spans="1:2" x14ac:dyDescent="0.2">
      <c r="A267" s="8" t="s">
        <v>533</v>
      </c>
      <c r="B267" s="8" t="s">
        <v>532</v>
      </c>
    </row>
    <row r="268" spans="1:2" x14ac:dyDescent="0.2">
      <c r="A268" s="7" t="s">
        <v>535</v>
      </c>
      <c r="B268" s="7" t="s">
        <v>534</v>
      </c>
    </row>
    <row r="269" spans="1:2" x14ac:dyDescent="0.2">
      <c r="A269" s="8" t="s">
        <v>537</v>
      </c>
      <c r="B269" s="8" t="s">
        <v>536</v>
      </c>
    </row>
    <row r="270" spans="1:2" x14ac:dyDescent="0.2">
      <c r="A270" s="7" t="s">
        <v>539</v>
      </c>
      <c r="B270" s="7" t="s">
        <v>538</v>
      </c>
    </row>
    <row r="271" spans="1:2" x14ac:dyDescent="0.2">
      <c r="A271" s="8" t="s">
        <v>541</v>
      </c>
      <c r="B271" s="8" t="s">
        <v>540</v>
      </c>
    </row>
    <row r="272" spans="1:2" x14ac:dyDescent="0.2">
      <c r="A272" s="7" t="s">
        <v>543</v>
      </c>
      <c r="B272" s="7" t="s">
        <v>542</v>
      </c>
    </row>
    <row r="273" spans="1:2" x14ac:dyDescent="0.2">
      <c r="A273" s="8" t="s">
        <v>545</v>
      </c>
      <c r="B273" s="8" t="s">
        <v>544</v>
      </c>
    </row>
    <row r="274" spans="1:2" x14ac:dyDescent="0.2">
      <c r="A274" s="7" t="s">
        <v>547</v>
      </c>
      <c r="B274" s="7" t="s">
        <v>546</v>
      </c>
    </row>
    <row r="275" spans="1:2" x14ac:dyDescent="0.2">
      <c r="A275" s="8" t="s">
        <v>549</v>
      </c>
      <c r="B275" s="8" t="s">
        <v>548</v>
      </c>
    </row>
    <row r="276" spans="1:2" x14ac:dyDescent="0.2">
      <c r="A276" s="7" t="s">
        <v>551</v>
      </c>
      <c r="B276" s="7" t="s">
        <v>550</v>
      </c>
    </row>
    <row r="277" spans="1:2" x14ac:dyDescent="0.2">
      <c r="A277" s="8" t="s">
        <v>553</v>
      </c>
      <c r="B277" s="8" t="s">
        <v>552</v>
      </c>
    </row>
    <row r="278" spans="1:2" x14ac:dyDescent="0.2">
      <c r="A278" s="7" t="s">
        <v>559</v>
      </c>
      <c r="B278" s="7" t="s">
        <v>558</v>
      </c>
    </row>
    <row r="279" spans="1:2" x14ac:dyDescent="0.2">
      <c r="A279" s="8" t="s">
        <v>555</v>
      </c>
      <c r="B279" s="8" t="s">
        <v>554</v>
      </c>
    </row>
    <row r="280" spans="1:2" x14ac:dyDescent="0.2">
      <c r="A280" s="7" t="s">
        <v>557</v>
      </c>
      <c r="B280" s="7" t="s">
        <v>556</v>
      </c>
    </row>
    <row r="281" spans="1:2" x14ac:dyDescent="0.2">
      <c r="A281" s="8" t="s">
        <v>561</v>
      </c>
      <c r="B281" s="8" t="s">
        <v>560</v>
      </c>
    </row>
    <row r="282" spans="1:2" x14ac:dyDescent="0.2">
      <c r="A282" s="7" t="s">
        <v>563</v>
      </c>
      <c r="B282" s="7" t="s">
        <v>562</v>
      </c>
    </row>
    <row r="283" spans="1:2" x14ac:dyDescent="0.2">
      <c r="A283" s="8" t="s">
        <v>565</v>
      </c>
      <c r="B283" s="8" t="s">
        <v>564</v>
      </c>
    </row>
    <row r="284" spans="1:2" x14ac:dyDescent="0.2">
      <c r="A284" s="7" t="s">
        <v>567</v>
      </c>
      <c r="B284" s="7" t="s">
        <v>566</v>
      </c>
    </row>
    <row r="285" spans="1:2" x14ac:dyDescent="0.2">
      <c r="A285" s="8" t="s">
        <v>569</v>
      </c>
      <c r="B285" s="8" t="s">
        <v>568</v>
      </c>
    </row>
    <row r="286" spans="1:2" x14ac:dyDescent="0.2">
      <c r="A286" s="7" t="s">
        <v>571</v>
      </c>
      <c r="B286" s="7" t="s">
        <v>570</v>
      </c>
    </row>
    <row r="287" spans="1:2" x14ac:dyDescent="0.2">
      <c r="A287" s="8" t="s">
        <v>573</v>
      </c>
      <c r="B287" s="8" t="s">
        <v>572</v>
      </c>
    </row>
    <row r="288" spans="1:2" x14ac:dyDescent="0.2">
      <c r="A288" s="7" t="s">
        <v>575</v>
      </c>
      <c r="B288" s="7" t="s">
        <v>574</v>
      </c>
    </row>
    <row r="289" spans="1:2" x14ac:dyDescent="0.2">
      <c r="A289" s="8" t="s">
        <v>577</v>
      </c>
      <c r="B289" s="8" t="s">
        <v>576</v>
      </c>
    </row>
    <row r="290" spans="1:2" x14ac:dyDescent="0.2">
      <c r="A290" s="7" t="s">
        <v>579</v>
      </c>
      <c r="B290" s="7" t="s">
        <v>578</v>
      </c>
    </row>
    <row r="291" spans="1:2" x14ac:dyDescent="0.2">
      <c r="A291" s="8" t="s">
        <v>581</v>
      </c>
      <c r="B291" s="8" t="s">
        <v>580</v>
      </c>
    </row>
    <row r="292" spans="1:2" x14ac:dyDescent="0.2">
      <c r="A292" s="7" t="s">
        <v>583</v>
      </c>
      <c r="B292" s="7" t="s">
        <v>582</v>
      </c>
    </row>
    <row r="293" spans="1:2" x14ac:dyDescent="0.2">
      <c r="A293" s="8" t="s">
        <v>585</v>
      </c>
      <c r="B293" s="8" t="s">
        <v>584</v>
      </c>
    </row>
    <row r="294" spans="1:2" x14ac:dyDescent="0.2">
      <c r="A294" s="7" t="s">
        <v>587</v>
      </c>
      <c r="B294" s="7" t="s">
        <v>586</v>
      </c>
    </row>
    <row r="295" spans="1:2" x14ac:dyDescent="0.2">
      <c r="A295" s="8" t="s">
        <v>595</v>
      </c>
      <c r="B295" s="8" t="s">
        <v>594</v>
      </c>
    </row>
    <row r="296" spans="1:2" x14ac:dyDescent="0.2">
      <c r="A296" s="7" t="s">
        <v>589</v>
      </c>
      <c r="B296" s="7" t="s">
        <v>588</v>
      </c>
    </row>
    <row r="297" spans="1:2" x14ac:dyDescent="0.2">
      <c r="A297" s="8" t="s">
        <v>591</v>
      </c>
      <c r="B297" s="8" t="s">
        <v>590</v>
      </c>
    </row>
    <row r="298" spans="1:2" x14ac:dyDescent="0.2">
      <c r="A298" s="7" t="s">
        <v>593</v>
      </c>
      <c r="B298" s="7" t="s">
        <v>592</v>
      </c>
    </row>
    <row r="299" spans="1:2" x14ac:dyDescent="0.2">
      <c r="A299" s="8" t="s">
        <v>601</v>
      </c>
      <c r="B299" s="8" t="s">
        <v>600</v>
      </c>
    </row>
    <row r="300" spans="1:2" x14ac:dyDescent="0.2">
      <c r="A300" s="7" t="s">
        <v>597</v>
      </c>
      <c r="B300" s="7" t="s">
        <v>596</v>
      </c>
    </row>
    <row r="301" spans="1:2" x14ac:dyDescent="0.2">
      <c r="A301" s="8" t="s">
        <v>599</v>
      </c>
      <c r="B301" s="8" t="s">
        <v>598</v>
      </c>
    </row>
    <row r="302" spans="1:2" x14ac:dyDescent="0.2">
      <c r="A302" s="7" t="s">
        <v>603</v>
      </c>
      <c r="B302" s="7" t="s">
        <v>602</v>
      </c>
    </row>
    <row r="303" spans="1:2" x14ac:dyDescent="0.2">
      <c r="A303" s="8" t="s">
        <v>605</v>
      </c>
      <c r="B303" s="8" t="s">
        <v>604</v>
      </c>
    </row>
    <row r="304" spans="1:2" x14ac:dyDescent="0.2">
      <c r="A304" s="7" t="s">
        <v>607</v>
      </c>
      <c r="B304" s="7" t="s">
        <v>606</v>
      </c>
    </row>
    <row r="305" spans="1:2" x14ac:dyDescent="0.2">
      <c r="A305" s="8" t="s">
        <v>609</v>
      </c>
      <c r="B305" s="8" t="s">
        <v>608</v>
      </c>
    </row>
    <row r="306" spans="1:2" x14ac:dyDescent="0.2">
      <c r="A306" s="7" t="s">
        <v>611</v>
      </c>
      <c r="B306" s="7" t="s">
        <v>610</v>
      </c>
    </row>
    <row r="307" spans="1:2" x14ac:dyDescent="0.2">
      <c r="A307" s="8" t="s">
        <v>613</v>
      </c>
      <c r="B307" s="8" t="s">
        <v>612</v>
      </c>
    </row>
    <row r="308" spans="1:2" x14ac:dyDescent="0.2">
      <c r="A308" s="7" t="s">
        <v>615</v>
      </c>
      <c r="B308" s="7" t="s">
        <v>614</v>
      </c>
    </row>
    <row r="309" spans="1:2" x14ac:dyDescent="0.2">
      <c r="A309" s="8" t="s">
        <v>617</v>
      </c>
      <c r="B309" s="8" t="s">
        <v>616</v>
      </c>
    </row>
    <row r="310" spans="1:2" x14ac:dyDescent="0.2">
      <c r="A310" s="7" t="s">
        <v>619</v>
      </c>
      <c r="B310" s="7" t="s">
        <v>618</v>
      </c>
    </row>
    <row r="311" spans="1:2" x14ac:dyDescent="0.2">
      <c r="A311" s="8" t="s">
        <v>621</v>
      </c>
      <c r="B311" s="8" t="s">
        <v>620</v>
      </c>
    </row>
    <row r="312" spans="1:2" x14ac:dyDescent="0.2">
      <c r="A312" s="7" t="s">
        <v>623</v>
      </c>
      <c r="B312" s="7" t="s">
        <v>622</v>
      </c>
    </row>
    <row r="313" spans="1:2" x14ac:dyDescent="0.2">
      <c r="A313" s="8" t="s">
        <v>625</v>
      </c>
      <c r="B313" s="8" t="s">
        <v>624</v>
      </c>
    </row>
    <row r="314" spans="1:2" x14ac:dyDescent="0.2">
      <c r="A314" s="7" t="s">
        <v>627</v>
      </c>
      <c r="B314" s="7" t="s">
        <v>626</v>
      </c>
    </row>
    <row r="315" spans="1:2" x14ac:dyDescent="0.2">
      <c r="A315" s="8" t="s">
        <v>629</v>
      </c>
      <c r="B315" s="8" t="s">
        <v>628</v>
      </c>
    </row>
    <row r="316" spans="1:2" x14ac:dyDescent="0.2">
      <c r="A316" s="7" t="s">
        <v>631</v>
      </c>
      <c r="B316" s="7" t="s">
        <v>630</v>
      </c>
    </row>
    <row r="317" spans="1:2" x14ac:dyDescent="0.2">
      <c r="A317" s="8" t="s">
        <v>633</v>
      </c>
      <c r="B317" s="8" t="s">
        <v>632</v>
      </c>
    </row>
    <row r="318" spans="1:2" x14ac:dyDescent="0.2">
      <c r="A318" s="7" t="s">
        <v>635</v>
      </c>
      <c r="B318" s="7" t="s">
        <v>634</v>
      </c>
    </row>
    <row r="319" spans="1:2" x14ac:dyDescent="0.2">
      <c r="A319" s="8" t="s">
        <v>639</v>
      </c>
      <c r="B319" s="8" t="s">
        <v>638</v>
      </c>
    </row>
    <row r="320" spans="1:2" x14ac:dyDescent="0.2">
      <c r="A320" s="7" t="s">
        <v>641</v>
      </c>
      <c r="B320" s="7" t="s">
        <v>640</v>
      </c>
    </row>
    <row r="321" spans="1:2" x14ac:dyDescent="0.2">
      <c r="A321" s="8" t="s">
        <v>643</v>
      </c>
      <c r="B321" s="8" t="s">
        <v>642</v>
      </c>
    </row>
    <row r="322" spans="1:2" x14ac:dyDescent="0.2">
      <c r="A322" s="7" t="s">
        <v>645</v>
      </c>
      <c r="B322" s="7" t="s">
        <v>644</v>
      </c>
    </row>
    <row r="323" spans="1:2" x14ac:dyDescent="0.2">
      <c r="A323" s="8" t="s">
        <v>647</v>
      </c>
      <c r="B323" s="8" t="s">
        <v>646</v>
      </c>
    </row>
    <row r="324" spans="1:2" x14ac:dyDescent="0.2">
      <c r="A324" s="7" t="s">
        <v>649</v>
      </c>
      <c r="B324" s="7" t="s">
        <v>648</v>
      </c>
    </row>
    <row r="325" spans="1:2" x14ac:dyDescent="0.2">
      <c r="A325" s="8" t="s">
        <v>651</v>
      </c>
      <c r="B325" s="8" t="s">
        <v>650</v>
      </c>
    </row>
    <row r="326" spans="1:2" x14ac:dyDescent="0.2">
      <c r="A326" s="7" t="s">
        <v>653</v>
      </c>
      <c r="B326" s="7" t="s">
        <v>652</v>
      </c>
    </row>
    <row r="327" spans="1:2" x14ac:dyDescent="0.2">
      <c r="A327" s="8" t="s">
        <v>657</v>
      </c>
      <c r="B327" s="8" t="s">
        <v>656</v>
      </c>
    </row>
    <row r="328" spans="1:2" x14ac:dyDescent="0.2">
      <c r="A328" s="7" t="s">
        <v>655</v>
      </c>
      <c r="B328" s="7" t="s">
        <v>654</v>
      </c>
    </row>
    <row r="329" spans="1:2" x14ac:dyDescent="0.2">
      <c r="A329" s="8" t="s">
        <v>659</v>
      </c>
      <c r="B329" s="8" t="s">
        <v>658</v>
      </c>
    </row>
    <row r="330" spans="1:2" x14ac:dyDescent="0.2">
      <c r="A330" s="7" t="s">
        <v>661</v>
      </c>
      <c r="B330" s="7" t="s">
        <v>660</v>
      </c>
    </row>
    <row r="331" spans="1:2" x14ac:dyDescent="0.2">
      <c r="A331" s="8" t="s">
        <v>667</v>
      </c>
      <c r="B331" s="8" t="s">
        <v>666</v>
      </c>
    </row>
    <row r="332" spans="1:2" x14ac:dyDescent="0.2">
      <c r="A332" s="7" t="s">
        <v>663</v>
      </c>
      <c r="B332" s="7" t="s">
        <v>662</v>
      </c>
    </row>
    <row r="333" spans="1:2" x14ac:dyDescent="0.2">
      <c r="A333" s="8" t="s">
        <v>665</v>
      </c>
      <c r="B333" s="8" t="s">
        <v>664</v>
      </c>
    </row>
    <row r="334" spans="1:2" x14ac:dyDescent="0.2">
      <c r="A334" s="7" t="s">
        <v>669</v>
      </c>
      <c r="B334" s="7" t="s">
        <v>668</v>
      </c>
    </row>
    <row r="335" spans="1:2" x14ac:dyDescent="0.2">
      <c r="A335" s="8" t="s">
        <v>671</v>
      </c>
      <c r="B335" s="8" t="s">
        <v>670</v>
      </c>
    </row>
    <row r="336" spans="1:2" x14ac:dyDescent="0.2">
      <c r="A336" s="7" t="s">
        <v>673</v>
      </c>
      <c r="B336" s="7" t="s">
        <v>672</v>
      </c>
    </row>
    <row r="337" spans="1:2" x14ac:dyDescent="0.2">
      <c r="A337" s="8" t="s">
        <v>675</v>
      </c>
      <c r="B337" s="8" t="s">
        <v>674</v>
      </c>
    </row>
    <row r="338" spans="1:2" x14ac:dyDescent="0.2">
      <c r="A338" s="7" t="s">
        <v>677</v>
      </c>
      <c r="B338" s="7" t="s">
        <v>676</v>
      </c>
    </row>
    <row r="339" spans="1:2" x14ac:dyDescent="0.2">
      <c r="A339" s="8" t="s">
        <v>679</v>
      </c>
      <c r="B339" s="8" t="s">
        <v>678</v>
      </c>
    </row>
    <row r="340" spans="1:2" x14ac:dyDescent="0.2">
      <c r="A340" s="7" t="s">
        <v>681</v>
      </c>
      <c r="B340" s="7" t="s">
        <v>680</v>
      </c>
    </row>
    <row r="341" spans="1:2" x14ac:dyDescent="0.2">
      <c r="A341" s="8" t="s">
        <v>683</v>
      </c>
      <c r="B341" s="8" t="s">
        <v>682</v>
      </c>
    </row>
    <row r="342" spans="1:2" x14ac:dyDescent="0.2">
      <c r="A342" s="7" t="s">
        <v>685</v>
      </c>
      <c r="B342" s="7" t="s">
        <v>684</v>
      </c>
    </row>
    <row r="343" spans="1:2" x14ac:dyDescent="0.2">
      <c r="A343" s="8" t="s">
        <v>687</v>
      </c>
      <c r="B343" s="8" t="s">
        <v>686</v>
      </c>
    </row>
    <row r="344" spans="1:2" x14ac:dyDescent="0.2">
      <c r="A344" s="7" t="s">
        <v>689</v>
      </c>
      <c r="B344" s="7" t="s">
        <v>688</v>
      </c>
    </row>
    <row r="345" spans="1:2" x14ac:dyDescent="0.2">
      <c r="A345" s="8" t="s">
        <v>691</v>
      </c>
      <c r="B345" s="8" t="s">
        <v>690</v>
      </c>
    </row>
    <row r="346" spans="1:2" x14ac:dyDescent="0.2">
      <c r="A346" s="7" t="s">
        <v>693</v>
      </c>
      <c r="B346" s="7" t="s">
        <v>692</v>
      </c>
    </row>
    <row r="347" spans="1:2" x14ac:dyDescent="0.2">
      <c r="A347" s="8" t="s">
        <v>695</v>
      </c>
      <c r="B347" s="8" t="s">
        <v>694</v>
      </c>
    </row>
    <row r="348" spans="1:2" x14ac:dyDescent="0.2">
      <c r="A348" s="7" t="s">
        <v>697</v>
      </c>
      <c r="B348" s="7" t="s">
        <v>696</v>
      </c>
    </row>
    <row r="349" spans="1:2" x14ac:dyDescent="0.2">
      <c r="A349" s="8" t="s">
        <v>699</v>
      </c>
      <c r="B349" s="8" t="s">
        <v>698</v>
      </c>
    </row>
    <row r="350" spans="1:2" x14ac:dyDescent="0.2">
      <c r="A350" s="7" t="s">
        <v>701</v>
      </c>
      <c r="B350" s="7" t="s">
        <v>700</v>
      </c>
    </row>
    <row r="351" spans="1:2" x14ac:dyDescent="0.2">
      <c r="A351" s="8" t="s">
        <v>703</v>
      </c>
      <c r="B351" s="8" t="s">
        <v>702</v>
      </c>
    </row>
    <row r="352" spans="1:2" x14ac:dyDescent="0.2">
      <c r="A352" s="7" t="s">
        <v>705</v>
      </c>
      <c r="B352" s="7" t="s">
        <v>704</v>
      </c>
    </row>
    <row r="353" spans="1:2" x14ac:dyDescent="0.2">
      <c r="A353" s="8" t="s">
        <v>707</v>
      </c>
      <c r="B353" s="8" t="s">
        <v>706</v>
      </c>
    </row>
    <row r="354" spans="1:2" x14ac:dyDescent="0.2">
      <c r="A354" s="7" t="s">
        <v>709</v>
      </c>
      <c r="B354" s="7" t="s">
        <v>708</v>
      </c>
    </row>
    <row r="355" spans="1:2" x14ac:dyDescent="0.2">
      <c r="A355" s="8" t="s">
        <v>711</v>
      </c>
      <c r="B355" s="8" t="s">
        <v>710</v>
      </c>
    </row>
    <row r="356" spans="1:2" x14ac:dyDescent="0.2">
      <c r="A356" s="7" t="s">
        <v>713</v>
      </c>
      <c r="B356" s="7" t="s">
        <v>712</v>
      </c>
    </row>
    <row r="357" spans="1:2" x14ac:dyDescent="0.2">
      <c r="A357" s="8" t="s">
        <v>715</v>
      </c>
      <c r="B357" s="8" t="s">
        <v>714</v>
      </c>
    </row>
    <row r="358" spans="1:2" x14ac:dyDescent="0.2">
      <c r="A358" s="7" t="s">
        <v>717</v>
      </c>
      <c r="B358" s="7" t="s">
        <v>716</v>
      </c>
    </row>
    <row r="359" spans="1:2" x14ac:dyDescent="0.2">
      <c r="A359" s="8" t="s">
        <v>719</v>
      </c>
      <c r="B359" s="8" t="s">
        <v>718</v>
      </c>
    </row>
    <row r="360" spans="1:2" x14ac:dyDescent="0.2">
      <c r="A360" s="7" t="s">
        <v>721</v>
      </c>
      <c r="B360" s="7" t="s">
        <v>720</v>
      </c>
    </row>
    <row r="361" spans="1:2" x14ac:dyDescent="0.2">
      <c r="A361" s="8" t="s">
        <v>723</v>
      </c>
      <c r="B361" s="8" t="s">
        <v>722</v>
      </c>
    </row>
    <row r="362" spans="1:2" x14ac:dyDescent="0.2">
      <c r="A362" s="7" t="s">
        <v>725</v>
      </c>
      <c r="B362" s="7" t="s">
        <v>724</v>
      </c>
    </row>
    <row r="363" spans="1:2" x14ac:dyDescent="0.2">
      <c r="A363" s="8" t="s">
        <v>727</v>
      </c>
      <c r="B363" s="8" t="s">
        <v>726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READ_ME_TODAY</vt:lpstr>
      <vt:lpstr>MarketMaker_Dashboard</vt:lpstr>
      <vt:lpstr>GamePick_ModeA</vt:lpstr>
      <vt:lpstr>SpreadTotal</vt:lpstr>
      <vt:lpstr>Inputs</vt:lpstr>
      <vt:lpstr>MarketMaker_Board</vt:lpstr>
      <vt:lpstr>Odds_from_Odds_Api_Total</vt:lpstr>
      <vt:lpstr>Odds_from_Odds_Api_Spread</vt:lpstr>
      <vt:lpstr>GameInputs</vt:lpstr>
      <vt:lpstr>BlendedRatings</vt:lpstr>
      <vt:lpstr>TeamPlayerIndex</vt:lpstr>
      <vt:lpstr>KenPomRaw</vt:lpstr>
      <vt:lpstr>Odds_Map_OddsToKP</vt:lpstr>
      <vt:lpstr>Odds_Map_KPToOdds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Joseph Shackelford</cp:lastModifiedBy>
  <dcterms:created xsi:type="dcterms:W3CDTF">2026-03-11T03:25:15Z</dcterms:created>
  <dcterms:modified xsi:type="dcterms:W3CDTF">2026-03-23T19:04:34Z</dcterms:modified>
</cp:coreProperties>
</file>